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exastechuniversity-my.sharepoint.com/personal/timothy_r_mcnealy_ttu_edu/Documents/_RA/Software/PetroEnExcel/"/>
    </mc:Choice>
  </mc:AlternateContent>
  <xr:revisionPtr revIDLastSave="2292" documentId="8_{63B27E79-BFE8-4592-BA6C-1E00DE836A91}" xr6:coauthVersionLast="47" xr6:coauthVersionMax="47" xr10:uidLastSave="{035416AF-7B00-4A49-8F83-B96DCDB67FDB}"/>
  <bookViews>
    <workbookView xWindow="16410" yWindow="2080" windowWidth="21520" windowHeight="16490" xr2:uid="{836FA71B-C445-49E4-B92B-B75650D6E4C0}"/>
  </bookViews>
  <sheets>
    <sheet name="GasGradient" sheetId="1" r:id="rId1"/>
    <sheet name="Validation" sheetId="2" r:id="rId2"/>
  </sheets>
  <definedNames>
    <definedName name="solver_adj" localSheetId="0" hidden="1">GasGradient!#REF!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GasGradient!#REF!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" i="1" l="1" a="1"/>
  <c r="B16" i="1" s="1"/>
  <c r="B21" i="1" s="1"/>
  <c r="B12" i="1" a="1"/>
  <c r="B11" i="1"/>
  <c r="B22" i="1" s="1"/>
  <c r="B10" i="1"/>
  <c r="B18" i="1"/>
  <c r="B4" i="1"/>
  <c r="D3" i="2"/>
  <c r="E3" i="2"/>
  <c r="F3" i="2"/>
  <c r="G3" i="2"/>
  <c r="H3" i="2"/>
  <c r="I3" i="2"/>
  <c r="J3" i="2"/>
  <c r="K3" i="2"/>
  <c r="C3" i="2"/>
  <c r="B9" i="2" a="1"/>
  <c r="B10" i="2" s="1"/>
  <c r="B11" i="2" s="1"/>
  <c r="E53" i="2" a="1"/>
  <c r="E54" i="2" a="1"/>
  <c r="E55" i="2" a="1"/>
  <c r="E56" i="2" a="1"/>
  <c r="E57" i="2" a="1"/>
  <c r="E52" i="2" a="1"/>
  <c r="E45" i="2" a="1"/>
  <c r="E46" i="2" a="1"/>
  <c r="E44" i="2" a="1"/>
  <c r="C71" i="2" a="1"/>
  <c r="C70" i="2" a="1"/>
  <c r="B72" i="2"/>
  <c r="B73" i="2" s="1"/>
  <c r="B71" i="2"/>
  <c r="D71" i="2" a="1"/>
  <c r="E71" i="2" a="1"/>
  <c r="F71" i="2" a="1"/>
  <c r="G71" i="2" a="1"/>
  <c r="H71" i="2" a="1"/>
  <c r="I71" i="2" a="1"/>
  <c r="J71" i="2" a="1"/>
  <c r="K71" i="2" a="1"/>
  <c r="L71" i="2" a="1"/>
  <c r="M71" i="2" a="1"/>
  <c r="N71" i="2" a="1"/>
  <c r="O71" i="2" a="1"/>
  <c r="P71" i="2" a="1"/>
  <c r="Q71" i="2" a="1"/>
  <c r="R71" i="2" a="1"/>
  <c r="M72" i="2" a="1"/>
  <c r="N72" i="2" a="1"/>
  <c r="Q72" i="2" a="1"/>
  <c r="D70" i="2" a="1"/>
  <c r="E70" i="2" a="1"/>
  <c r="F70" i="2" a="1"/>
  <c r="G70" i="2" a="1"/>
  <c r="H70" i="2" a="1"/>
  <c r="I70" i="2" a="1"/>
  <c r="J70" i="2" a="1"/>
  <c r="K70" i="2" a="1"/>
  <c r="L70" i="2" a="1"/>
  <c r="M70" i="2" a="1"/>
  <c r="N70" i="2" a="1"/>
  <c r="O70" i="2" a="1"/>
  <c r="P70" i="2" a="1"/>
  <c r="Q70" i="2" a="1"/>
  <c r="R70" i="2" a="1"/>
  <c r="E69" i="2"/>
  <c r="F69" i="2" s="1"/>
  <c r="G69" i="2" s="1"/>
  <c r="H69" i="2" s="1"/>
  <c r="I69" i="2" s="1"/>
  <c r="J69" i="2" s="1"/>
  <c r="K69" i="2" s="1"/>
  <c r="L69" i="2" s="1"/>
  <c r="M69" i="2" s="1"/>
  <c r="N69" i="2" s="1"/>
  <c r="O69" i="2" s="1"/>
  <c r="P69" i="2" s="1"/>
  <c r="Q69" i="2" s="1"/>
  <c r="R69" i="2" s="1"/>
  <c r="D53" i="2" a="1"/>
  <c r="D54" i="2" a="1"/>
  <c r="D55" i="2" a="1"/>
  <c r="D56" i="2" a="1"/>
  <c r="D57" i="2" a="1"/>
  <c r="D52" i="2" a="1"/>
  <c r="C53" i="2" a="1"/>
  <c r="C54" i="2" a="1"/>
  <c r="C55" i="2" a="1"/>
  <c r="C56" i="2" a="1"/>
  <c r="C57" i="2" a="1"/>
  <c r="C52" i="2" a="1"/>
  <c r="B53" i="2"/>
  <c r="B54" i="2" s="1"/>
  <c r="B55" i="2" s="1"/>
  <c r="B56" i="2" s="1"/>
  <c r="B57" i="2" s="1"/>
  <c r="D45" i="2" a="1"/>
  <c r="D46" i="2" a="1"/>
  <c r="D44" i="2" a="1"/>
  <c r="C45" i="2" a="1"/>
  <c r="B45" i="2"/>
  <c r="B46" i="2" s="1"/>
  <c r="C44" i="2" a="1"/>
  <c r="B7" i="2"/>
  <c r="B8" i="2"/>
  <c r="C4" i="2"/>
  <c r="K6" i="2"/>
  <c r="J6" i="2"/>
  <c r="I6" i="2"/>
  <c r="H6" i="2"/>
  <c r="G6" i="2"/>
  <c r="F6" i="2"/>
  <c r="E6" i="2"/>
  <c r="D6" i="2"/>
  <c r="C6" i="2"/>
  <c r="B6" i="2"/>
  <c r="C2" i="2"/>
  <c r="B74" i="2"/>
  <c r="C73" i="2" a="1"/>
  <c r="P72" i="2" a="1"/>
  <c r="O72" i="2" a="1"/>
  <c r="H72" i="2" a="1"/>
  <c r="G72" i="2" a="1"/>
  <c r="D72" i="2" a="1"/>
  <c r="I72" i="2" a="1"/>
  <c r="F72" i="2" a="1"/>
  <c r="L72" i="2" a="1"/>
  <c r="J72" i="2" a="1"/>
  <c r="C72" i="2" a="1"/>
  <c r="E72" i="2" a="1"/>
  <c r="K72" i="2" a="1"/>
  <c r="R72" i="2" a="1"/>
  <c r="D73" i="2" a="1"/>
  <c r="E73" i="2" a="1"/>
  <c r="R73" i="2" a="1"/>
  <c r="F73" i="2" a="1"/>
  <c r="L73" i="2" a="1"/>
  <c r="M73" i="2" a="1"/>
  <c r="G73" i="2" a="1"/>
  <c r="K73" i="2" a="1"/>
  <c r="H73" i="2" a="1"/>
  <c r="J73" i="2" a="1"/>
  <c r="I73" i="2" a="1"/>
  <c r="Q73" i="2" a="1"/>
  <c r="N73" i="2" a="1"/>
  <c r="O73" i="2" a="1"/>
  <c r="P73" i="2" a="1"/>
  <c r="L74" i="2" a="1"/>
  <c r="R74" i="2" a="1"/>
  <c r="P74" i="2" a="1"/>
  <c r="N74" i="2" a="1"/>
  <c r="M74" i="2" a="1"/>
  <c r="D74" i="2" a="1"/>
  <c r="K74" i="2" a="1"/>
  <c r="J74" i="2" a="1"/>
  <c r="I74" i="2" a="1"/>
  <c r="H74" i="2" a="1"/>
  <c r="G74" i="2" a="1"/>
  <c r="F74" i="2" a="1"/>
  <c r="E74" i="2" a="1"/>
  <c r="Q74" i="2" a="1"/>
  <c r="O74" i="2" a="1"/>
  <c r="C46" i="2" a="1"/>
  <c r="B47" i="2"/>
  <c r="D4" i="2"/>
  <c r="C7" i="2"/>
  <c r="D2" i="2"/>
  <c r="B17" i="1" l="1"/>
  <c r="B12" i="2"/>
  <c r="B13" i="2"/>
  <c r="B75" i="2"/>
  <c r="C74" i="2" a="1"/>
  <c r="D47" i="2" a="1"/>
  <c r="E47" i="2" a="1"/>
  <c r="C47" i="2" a="1"/>
  <c r="B48" i="2"/>
  <c r="E4" i="2"/>
  <c r="E2" i="2"/>
  <c r="D7" i="2"/>
  <c r="H75" i="2" l="1" a="1"/>
  <c r="M75" i="2" a="1"/>
  <c r="J75" i="2" a="1"/>
  <c r="D75" i="2" a="1"/>
  <c r="L75" i="2" a="1"/>
  <c r="E75" i="2" a="1"/>
  <c r="F75" i="2" a="1"/>
  <c r="I75" i="2" a="1"/>
  <c r="P75" i="2" a="1"/>
  <c r="K75" i="2" a="1"/>
  <c r="R75" i="2" a="1"/>
  <c r="Q75" i="2" a="1"/>
  <c r="G75" i="2" a="1"/>
  <c r="O75" i="2" a="1"/>
  <c r="N75" i="2" a="1"/>
  <c r="B76" i="2"/>
  <c r="C75" i="2" a="1"/>
  <c r="D48" i="2" a="1"/>
  <c r="E48" i="2" a="1"/>
  <c r="B49" i="2"/>
  <c r="C48" i="2" a="1"/>
  <c r="F4" i="2"/>
  <c r="F2" i="2"/>
  <c r="E7" i="2"/>
  <c r="G76" i="2" l="1" a="1"/>
  <c r="M76" i="2" a="1"/>
  <c r="Q76" i="2" a="1"/>
  <c r="J76" i="2" a="1"/>
  <c r="D76" i="2" a="1"/>
  <c r="L76" i="2" a="1"/>
  <c r="N76" i="2" a="1"/>
  <c r="R76" i="2" a="1"/>
  <c r="K76" i="2" a="1"/>
  <c r="O76" i="2" a="1"/>
  <c r="F76" i="2" a="1"/>
  <c r="P76" i="2" a="1"/>
  <c r="E76" i="2" a="1"/>
  <c r="H76" i="2" a="1"/>
  <c r="I76" i="2" a="1"/>
  <c r="B77" i="2"/>
  <c r="C76" i="2" a="1"/>
  <c r="D49" i="2" a="1"/>
  <c r="E49" i="2" a="1"/>
  <c r="C49" i="2" a="1"/>
  <c r="G4" i="2"/>
  <c r="G2" i="2"/>
  <c r="F7" i="2"/>
  <c r="J77" i="2" l="1" a="1"/>
  <c r="D77" i="2" a="1"/>
  <c r="O77" i="2" a="1"/>
  <c r="P77" i="2" a="1"/>
  <c r="E77" i="2" a="1"/>
  <c r="I77" i="2" a="1"/>
  <c r="K77" i="2" a="1"/>
  <c r="M77" i="2" a="1"/>
  <c r="N77" i="2" a="1"/>
  <c r="F77" i="2" a="1"/>
  <c r="R77" i="2" a="1"/>
  <c r="H77" i="2" a="1"/>
  <c r="Q77" i="2" a="1"/>
  <c r="L77" i="2" a="1"/>
  <c r="G77" i="2" a="1"/>
  <c r="B78" i="2"/>
  <c r="C77" i="2" a="1"/>
  <c r="H4" i="2"/>
  <c r="G7" i="2"/>
  <c r="H2" i="2"/>
  <c r="I78" i="2" l="1" a="1"/>
  <c r="L78" i="2" a="1"/>
  <c r="N78" i="2" a="1"/>
  <c r="Q78" i="2" a="1"/>
  <c r="J78" i="2" a="1"/>
  <c r="G78" i="2" a="1"/>
  <c r="E78" i="2" a="1"/>
  <c r="K78" i="2" a="1"/>
  <c r="D78" i="2" a="1"/>
  <c r="R78" i="2" a="1"/>
  <c r="M78" i="2" a="1"/>
  <c r="H78" i="2" a="1"/>
  <c r="F78" i="2" a="1"/>
  <c r="P78" i="2" a="1"/>
  <c r="O78" i="2" a="1"/>
  <c r="C78" i="2" a="1"/>
  <c r="B79" i="2"/>
  <c r="I4" i="2"/>
  <c r="I2" i="2"/>
  <c r="H7" i="2"/>
  <c r="M79" i="2" l="1" a="1"/>
  <c r="H79" i="2" a="1"/>
  <c r="D79" i="2" a="1"/>
  <c r="E79" i="2" a="1"/>
  <c r="N79" i="2" a="1"/>
  <c r="J79" i="2" a="1"/>
  <c r="G79" i="2" a="1"/>
  <c r="L79" i="2" a="1"/>
  <c r="K79" i="2" a="1"/>
  <c r="R79" i="2" a="1"/>
  <c r="Q79" i="2" a="1"/>
  <c r="P79" i="2" a="1"/>
  <c r="F79" i="2" a="1"/>
  <c r="C79" i="2" a="1"/>
  <c r="O79" i="2" a="1"/>
  <c r="I79" i="2" a="1"/>
  <c r="B80" i="2"/>
  <c r="J4" i="2"/>
  <c r="J2" i="2"/>
  <c r="I7" i="2"/>
  <c r="K80" i="2" l="1" a="1"/>
  <c r="H80" i="2" a="1"/>
  <c r="M80" i="2" a="1"/>
  <c r="O80" i="2" a="1"/>
  <c r="P80" i="2" a="1"/>
  <c r="G80" i="2" a="1"/>
  <c r="E80" i="2" a="1"/>
  <c r="F80" i="2" a="1"/>
  <c r="N80" i="2" a="1"/>
  <c r="R80" i="2" a="1"/>
  <c r="Q80" i="2" a="1"/>
  <c r="J80" i="2" a="1"/>
  <c r="L80" i="2" a="1"/>
  <c r="D80" i="2" a="1"/>
  <c r="I80" i="2" a="1"/>
  <c r="C80" i="2" a="1"/>
  <c r="B81" i="2"/>
  <c r="K2" i="2"/>
  <c r="K7" i="2" s="1"/>
  <c r="J7" i="2"/>
  <c r="N81" i="2" l="1" a="1"/>
  <c r="E81" i="2" a="1"/>
  <c r="O81" i="2" a="1"/>
  <c r="H81" i="2" a="1"/>
  <c r="G81" i="2" a="1"/>
  <c r="R81" i="2" a="1"/>
  <c r="P81" i="2" a="1"/>
  <c r="Q81" i="2" a="1"/>
  <c r="L81" i="2" a="1"/>
  <c r="I81" i="2" a="1"/>
  <c r="F81" i="2" a="1"/>
  <c r="K81" i="2" a="1"/>
  <c r="D81" i="2" a="1"/>
  <c r="C81" i="2" a="1"/>
  <c r="J81" i="2" a="1"/>
  <c r="M81" i="2" a="1"/>
  <c r="B82" i="2"/>
  <c r="J82" i="2" l="1" a="1"/>
  <c r="F82" i="2" a="1"/>
  <c r="H82" i="2" a="1"/>
  <c r="L82" i="2" a="1"/>
  <c r="K82" i="2" a="1"/>
  <c r="N82" i="2" a="1"/>
  <c r="G82" i="2" a="1"/>
  <c r="C82" i="2" a="1"/>
  <c r="I82" i="2" a="1"/>
  <c r="Q82" i="2" a="1"/>
  <c r="R82" i="2" a="1"/>
  <c r="D82" i="2" a="1"/>
  <c r="B83" i="2"/>
  <c r="N83" i="2" s="1" a="1"/>
  <c r="O82" i="2" a="1"/>
  <c r="P82" i="2" a="1"/>
  <c r="M82" i="2" a="1"/>
  <c r="E82" i="2" a="1"/>
  <c r="I83" i="2" l="1" a="1"/>
  <c r="R83" i="2" a="1"/>
  <c r="L83" i="2" a="1"/>
  <c r="H83" i="2" a="1"/>
  <c r="E83" i="2" a="1"/>
  <c r="G83" i="2" a="1"/>
  <c r="F83" i="2" a="1"/>
  <c r="P83" i="2" a="1"/>
  <c r="D83" i="2" a="1"/>
  <c r="C83" i="2" a="1"/>
  <c r="Q83" i="2" a="1"/>
  <c r="M83" i="2" a="1"/>
  <c r="O83" i="2" a="1"/>
  <c r="K83" i="2" a="1"/>
  <c r="J83" i="2" a="1"/>
  <c r="B84" i="2"/>
  <c r="E84" i="2" l="1" a="1"/>
  <c r="P84" i="2" a="1"/>
  <c r="N84" i="2" a="1"/>
  <c r="M84" i="2" a="1"/>
  <c r="J84" i="2" a="1"/>
  <c r="I84" i="2" a="1"/>
  <c r="D84" i="2" a="1"/>
  <c r="C84" i="2" a="1"/>
  <c r="O84" i="2" a="1"/>
  <c r="Q84" i="2" a="1"/>
  <c r="G84" i="2" a="1"/>
  <c r="R84" i="2" a="1"/>
  <c r="K84" i="2" a="1"/>
  <c r="B85" i="2"/>
  <c r="L84" i="2" a="1"/>
  <c r="H84" i="2" a="1"/>
  <c r="F84" i="2" a="1"/>
  <c r="N85" i="2" l="1" a="1"/>
  <c r="L85" i="2" a="1"/>
  <c r="K85" i="2" a="1"/>
  <c r="P85" i="2" a="1"/>
  <c r="E85" i="2" a="1"/>
  <c r="J85" i="2" a="1"/>
  <c r="Q85" i="2" a="1"/>
  <c r="H85" i="2" a="1"/>
  <c r="R85" i="2" a="1"/>
  <c r="I85" i="2" a="1"/>
  <c r="F85" i="2" a="1"/>
  <c r="C85" i="2" a="1"/>
  <c r="M85" i="2" a="1"/>
  <c r="O85" i="2" a="1"/>
  <c r="D85" i="2" a="1"/>
  <c r="G85" i="2" a="1"/>
  <c r="B86" i="2"/>
  <c r="G86" i="2" l="1" a="1"/>
  <c r="H86" i="2" a="1"/>
  <c r="N86" i="2" a="1"/>
  <c r="K86" i="2" a="1"/>
  <c r="C86" i="2" a="1"/>
  <c r="L86" i="2" a="1"/>
  <c r="R86" i="2" a="1"/>
  <c r="Q86" i="2" a="1"/>
  <c r="I86" i="2" a="1"/>
  <c r="D86" i="2" a="1"/>
  <c r="O86" i="2" a="1"/>
  <c r="F86" i="2" a="1"/>
  <c r="J86" i="2" a="1"/>
  <c r="P86" i="2" a="1"/>
  <c r="M86" i="2" a="1"/>
  <c r="E86" i="2" a="1"/>
  <c r="B87" i="2"/>
  <c r="K87" i="2" l="1" a="1"/>
  <c r="M87" i="2" a="1"/>
  <c r="D87" i="2" a="1"/>
  <c r="H87" i="2" a="1"/>
  <c r="Q87" i="2" a="1"/>
  <c r="P87" i="2" a="1"/>
  <c r="F87" i="2" a="1"/>
  <c r="I87" i="2" a="1"/>
  <c r="R87" i="2" a="1"/>
  <c r="O87" i="2" a="1"/>
  <c r="L87" i="2" a="1"/>
  <c r="G87" i="2" a="1"/>
  <c r="J87" i="2" a="1"/>
  <c r="C87" i="2" a="1"/>
  <c r="B88" i="2"/>
  <c r="N87" i="2" a="1"/>
  <c r="E87" i="2" a="1"/>
  <c r="O88" i="2" l="1" a="1"/>
  <c r="L88" i="2" a="1"/>
  <c r="C88" i="2" a="1"/>
  <c r="K88" i="2" a="1"/>
  <c r="N88" i="2" a="1"/>
  <c r="G88" i="2" a="1"/>
  <c r="I88" i="2" a="1"/>
  <c r="M88" i="2" a="1"/>
  <c r="D88" i="2" a="1"/>
  <c r="H88" i="2" a="1"/>
  <c r="J88" i="2" a="1"/>
  <c r="P88" i="2" a="1"/>
  <c r="Q88" i="2" a="1"/>
  <c r="E88" i="2" a="1"/>
  <c r="F88" i="2" a="1"/>
  <c r="R88" i="2" a="1"/>
  <c r="B89" i="2"/>
  <c r="P89" i="2" l="1" a="1"/>
  <c r="L89" i="2" a="1"/>
  <c r="N89" i="2" a="1"/>
  <c r="R89" i="2" a="1"/>
  <c r="G89" i="2" a="1"/>
  <c r="Q89" i="2" a="1"/>
  <c r="K89" i="2" a="1"/>
  <c r="C89" i="2" a="1"/>
  <c r="I89" i="2" a="1"/>
  <c r="F89" i="2" a="1"/>
  <c r="O89" i="2" a="1"/>
  <c r="J89" i="2" a="1"/>
  <c r="B90" i="2"/>
  <c r="E90" i="2" s="1" a="1"/>
  <c r="D89" i="2" a="1"/>
  <c r="E89" i="2" a="1"/>
  <c r="H89" i="2" a="1"/>
  <c r="M89" i="2" a="1"/>
  <c r="K90" i="2" l="1" a="1"/>
  <c r="O90" i="2" a="1"/>
  <c r="F90" i="2" a="1"/>
  <c r="M90" i="2" a="1"/>
  <c r="G90" i="2" a="1"/>
  <c r="R90" i="2" a="1"/>
  <c r="H90" i="2" a="1"/>
  <c r="L90" i="2" a="1"/>
  <c r="J90" i="2" a="1"/>
  <c r="I90" i="2" a="1"/>
  <c r="P90" i="2" a="1"/>
  <c r="C90" i="2" a="1"/>
  <c r="D90" i="2" a="1"/>
  <c r="N90" i="2" a="1"/>
  <c r="B91" i="2"/>
  <c r="Q90" i="2" a="1"/>
  <c r="G91" i="2" l="1" a="1"/>
  <c r="M91" i="2" a="1"/>
  <c r="E91" i="2" a="1"/>
  <c r="J91" i="2" a="1"/>
  <c r="I91" i="2" a="1"/>
  <c r="N91" i="2" a="1"/>
  <c r="Q91" i="2" a="1"/>
  <c r="H91" i="2" a="1"/>
  <c r="R91" i="2" a="1"/>
  <c r="P91" i="2" a="1"/>
  <c r="F91" i="2" a="1"/>
  <c r="D91" i="2" a="1"/>
  <c r="C91" i="2" a="1"/>
  <c r="K91" i="2" a="1"/>
  <c r="L91" i="2" a="1"/>
  <c r="O91" i="2" a="1"/>
  <c r="B92" i="2"/>
  <c r="K92" i="2" l="1" a="1"/>
  <c r="P92" i="2" a="1"/>
  <c r="D92" i="2" a="1"/>
  <c r="M92" i="2" a="1"/>
  <c r="F92" i="2" a="1"/>
  <c r="L92" i="2" a="1"/>
  <c r="I92" i="2" a="1"/>
  <c r="O92" i="2" a="1"/>
  <c r="E92" i="2" a="1"/>
  <c r="G92" i="2" a="1"/>
  <c r="C92" i="2" a="1"/>
  <c r="N92" i="2" a="1"/>
  <c r="J92" i="2" a="1"/>
  <c r="H92" i="2" a="1"/>
  <c r="B93" i="2"/>
  <c r="R92" i="2" a="1"/>
  <c r="Q92" i="2" a="1"/>
  <c r="I93" i="2" l="1" a="1"/>
  <c r="O93" i="2" a="1"/>
  <c r="M93" i="2" a="1"/>
  <c r="F93" i="2" a="1"/>
  <c r="C93" i="2" a="1"/>
  <c r="P93" i="2" a="1"/>
  <c r="Q93" i="2" a="1"/>
  <c r="K93" i="2" a="1"/>
  <c r="N93" i="2" a="1"/>
  <c r="E93" i="2" a="1"/>
  <c r="D93" i="2" a="1"/>
  <c r="R93" i="2" a="1"/>
  <c r="L93" i="2" a="1"/>
  <c r="H93" i="2" a="1"/>
  <c r="J93" i="2" a="1"/>
  <c r="G93" i="2" a="1"/>
  <c r="B94" i="2"/>
  <c r="H94" i="2" s="1" a="1"/>
  <c r="Q94" i="2" l="1" a="1"/>
  <c r="J94" i="2" a="1"/>
  <c r="D94" i="2" a="1"/>
  <c r="I94" i="2" a="1"/>
  <c r="P94" i="2" a="1"/>
  <c r="R94" i="2" a="1"/>
  <c r="C94" i="2" a="1"/>
  <c r="M94" i="2" a="1"/>
  <c r="L94" i="2" a="1"/>
  <c r="F94" i="2" a="1"/>
  <c r="G94" i="2" a="1"/>
  <c r="N94" i="2" a="1"/>
  <c r="E94" i="2" a="1"/>
  <c r="B95" i="2"/>
  <c r="K94" i="2" a="1"/>
  <c r="O94" i="2" a="1"/>
  <c r="G95" i="2" l="1" a="1"/>
  <c r="J95" i="2" a="1"/>
  <c r="I95" i="2" a="1"/>
  <c r="L95" i="2" a="1"/>
  <c r="O95" i="2" a="1"/>
  <c r="Q95" i="2" a="1"/>
  <c r="M95" i="2" a="1"/>
  <c r="F95" i="2" a="1"/>
  <c r="C95" i="2" a="1"/>
  <c r="P95" i="2" a="1"/>
  <c r="D95" i="2" a="1"/>
  <c r="R95" i="2" a="1"/>
  <c r="N95" i="2" a="1"/>
  <c r="E95" i="2" a="1"/>
  <c r="H95" i="2" a="1"/>
  <c r="K95" i="2" a="1"/>
  <c r="B96" i="2"/>
  <c r="O96" i="2" l="1" a="1"/>
  <c r="P96" i="2" a="1"/>
  <c r="F96" i="2" a="1"/>
  <c r="M96" i="2" a="1"/>
  <c r="C96" i="2" a="1"/>
  <c r="K96" i="2" a="1"/>
  <c r="E96" i="2" a="1"/>
  <c r="Q96" i="2" a="1"/>
  <c r="G96" i="2" a="1"/>
  <c r="J96" i="2" a="1"/>
  <c r="H96" i="2" a="1"/>
  <c r="I96" i="2" a="1"/>
  <c r="N96" i="2" a="1"/>
  <c r="D96" i="2" a="1"/>
  <c r="L96" i="2" a="1"/>
  <c r="R96" i="2" a="1"/>
  <c r="B97" i="2"/>
  <c r="H97" i="2" l="1" a="1"/>
  <c r="G97" i="2" a="1"/>
  <c r="D97" i="2" a="1"/>
  <c r="R97" i="2" a="1"/>
  <c r="O97" i="2" a="1"/>
  <c r="Q97" i="2" a="1"/>
  <c r="F97" i="2" a="1"/>
  <c r="L97" i="2" a="1"/>
  <c r="I97" i="2" a="1"/>
  <c r="C97" i="2" a="1"/>
  <c r="N97" i="2" a="1"/>
  <c r="P97" i="2" a="1"/>
  <c r="J97" i="2" a="1"/>
  <c r="E97" i="2" a="1"/>
  <c r="B98" i="2"/>
  <c r="K97" i="2" a="1"/>
  <c r="M97" i="2" a="1"/>
  <c r="J98" i="2" l="1" a="1"/>
  <c r="E98" i="2" a="1"/>
  <c r="F98" i="2" a="1"/>
  <c r="Q98" i="2" a="1"/>
  <c r="L98" i="2" a="1"/>
  <c r="R98" i="2" a="1"/>
  <c r="M98" i="2" a="1"/>
  <c r="O98" i="2" a="1"/>
  <c r="I98" i="2" a="1"/>
  <c r="C98" i="2" a="1"/>
  <c r="N98" i="2" a="1"/>
  <c r="G98" i="2" a="1"/>
  <c r="P98" i="2" a="1"/>
  <c r="D98" i="2" a="1"/>
  <c r="H98" i="2" a="1"/>
  <c r="K98" i="2" a="1"/>
  <c r="B99" i="2"/>
  <c r="K99" i="2" l="1" a="1"/>
  <c r="Q99" i="2" a="1"/>
  <c r="L99" i="2" a="1"/>
  <c r="D99" i="2" a="1"/>
  <c r="M99" i="2" a="1"/>
  <c r="C99" i="2" a="1"/>
  <c r="I99" i="2" a="1"/>
  <c r="F99" i="2" a="1"/>
  <c r="J99" i="2" a="1"/>
  <c r="E99" i="2" a="1"/>
  <c r="G99" i="2" a="1"/>
  <c r="N99" i="2" a="1"/>
  <c r="O99" i="2" a="1"/>
  <c r="P99" i="2" a="1"/>
  <c r="R99" i="2" a="1"/>
  <c r="H99" i="2" a="1"/>
  <c r="B100" i="2"/>
  <c r="G100" i="2" l="1" a="1"/>
  <c r="H100" i="2" a="1"/>
  <c r="Q100" i="2" a="1"/>
  <c r="J100" i="2" a="1"/>
  <c r="E100" i="2" a="1"/>
  <c r="M100" i="2" a="1"/>
  <c r="I100" i="2" a="1"/>
  <c r="L100" i="2" a="1"/>
  <c r="D100" i="2" a="1"/>
  <c r="P100" i="2" a="1"/>
  <c r="K100" i="2" a="1"/>
  <c r="N100" i="2" a="1"/>
  <c r="R100" i="2" a="1"/>
  <c r="F100" i="2" a="1"/>
  <c r="C100" i="2" a="1"/>
  <c r="B101" i="2"/>
  <c r="O100" i="2" a="1"/>
  <c r="I101" i="2" l="1" a="1"/>
  <c r="Q101" i="2" a="1"/>
  <c r="C101" i="2" a="1"/>
  <c r="L101" i="2" a="1"/>
  <c r="J101" i="2" a="1"/>
  <c r="E101" i="2" a="1"/>
  <c r="O101" i="2" a="1"/>
  <c r="K101" i="2" a="1"/>
  <c r="G101" i="2" a="1"/>
  <c r="N101" i="2" a="1"/>
  <c r="F101" i="2" a="1"/>
  <c r="D101" i="2" a="1"/>
  <c r="R101" i="2" a="1"/>
  <c r="H101" i="2" a="1"/>
  <c r="P101" i="2" a="1"/>
  <c r="M101" i="2" a="1"/>
  <c r="B102" i="2"/>
  <c r="F102" i="2" l="1" a="1"/>
  <c r="L102" i="2" a="1"/>
  <c r="Q102" i="2" a="1"/>
  <c r="N102" i="2" a="1"/>
  <c r="H102" i="2" a="1"/>
  <c r="R102" i="2" a="1"/>
  <c r="P102" i="2" a="1"/>
  <c r="C102" i="2" a="1"/>
  <c r="I102" i="2" a="1"/>
  <c r="G102" i="2" a="1"/>
  <c r="O102" i="2" a="1"/>
  <c r="K102" i="2" a="1"/>
  <c r="E102" i="2" a="1"/>
  <c r="J102" i="2" a="1"/>
  <c r="B103" i="2"/>
  <c r="H103" i="2" s="1" a="1"/>
  <c r="D102" i="2" a="1"/>
  <c r="M102" i="2" a="1"/>
  <c r="C103" i="2" l="1" a="1"/>
  <c r="P103" i="2" a="1"/>
  <c r="E103" i="2" a="1"/>
  <c r="N103" i="2" a="1"/>
  <c r="I103" i="2" a="1"/>
  <c r="L103" i="2" a="1"/>
  <c r="O103" i="2" a="1"/>
  <c r="R103" i="2" a="1"/>
  <c r="J103" i="2" a="1"/>
  <c r="Q103" i="2" a="1"/>
  <c r="K103" i="2" a="1"/>
  <c r="B104" i="2"/>
  <c r="M103" i="2" a="1"/>
  <c r="D103" i="2" a="1"/>
  <c r="F103" i="2" a="1"/>
  <c r="G103" i="2" a="1"/>
  <c r="J104" i="2" l="1" a="1"/>
  <c r="E104" i="2" a="1"/>
  <c r="N104" i="2" a="1"/>
  <c r="F104" i="2" a="1"/>
  <c r="C104" i="2" a="1"/>
  <c r="M104" i="2" a="1"/>
  <c r="R104" i="2" a="1"/>
  <c r="I104" i="2" a="1"/>
  <c r="Q104" i="2" a="1"/>
  <c r="H104" i="2" a="1"/>
  <c r="O104" i="2" a="1"/>
  <c r="K104" i="2" a="1"/>
  <c r="L104" i="2" a="1"/>
  <c r="G104" i="2" a="1"/>
  <c r="P104" i="2" a="1"/>
  <c r="D104" i="2" a="1"/>
  <c r="B105" i="2"/>
  <c r="P105" i="2" l="1" a="1"/>
  <c r="D105" i="2" a="1"/>
  <c r="N105" i="2" a="1"/>
  <c r="H105" i="2" a="1"/>
  <c r="E105" i="2" a="1"/>
  <c r="L105" i="2" a="1"/>
  <c r="K105" i="2" a="1"/>
  <c r="J105" i="2" a="1"/>
  <c r="O105" i="2" a="1"/>
  <c r="F105" i="2" a="1"/>
  <c r="G105" i="2" a="1"/>
  <c r="C105" i="2" a="1"/>
  <c r="I105" i="2" a="1"/>
  <c r="M105" i="2" a="1"/>
  <c r="R105" i="2" a="1"/>
  <c r="Q105" i="2" a="1"/>
  <c r="B106" i="2"/>
  <c r="D106" i="2" l="1" a="1"/>
  <c r="I106" i="2" a="1"/>
  <c r="R106" i="2" a="1"/>
  <c r="N106" i="2" a="1"/>
  <c r="P106" i="2" a="1"/>
  <c r="C106" i="2" a="1"/>
  <c r="F106" i="2" a="1"/>
  <c r="H106" i="2" a="1"/>
  <c r="J106" i="2" a="1"/>
  <c r="Q106" i="2" a="1"/>
  <c r="L106" i="2" a="1"/>
  <c r="M106" i="2" a="1"/>
  <c r="K106" i="2" a="1"/>
  <c r="G106" i="2" a="1"/>
  <c r="B107" i="2"/>
  <c r="E106" i="2" a="1"/>
  <c r="O106" i="2" a="1"/>
  <c r="G107" i="2" l="1" a="1"/>
  <c r="O107" i="2" a="1"/>
  <c r="D107" i="2" a="1"/>
  <c r="Q107" i="2" a="1"/>
  <c r="R107" i="2" a="1"/>
  <c r="C107" i="2" a="1"/>
  <c r="H107" i="2" a="1"/>
  <c r="P107" i="2" a="1"/>
  <c r="M107" i="2" a="1"/>
  <c r="I107" i="2" a="1"/>
  <c r="N107" i="2" a="1"/>
  <c r="F107" i="2" a="1"/>
  <c r="B108" i="2"/>
  <c r="E107" i="2" a="1"/>
  <c r="L107" i="2" a="1"/>
  <c r="J107" i="2" a="1"/>
  <c r="K107" i="2" a="1"/>
  <c r="F108" i="2" l="1" a="1"/>
  <c r="O108" i="2" a="1"/>
  <c r="E108" i="2" a="1"/>
  <c r="C108" i="2" a="1"/>
  <c r="H108" i="2" a="1"/>
  <c r="R108" i="2" a="1"/>
  <c r="M108" i="2" a="1"/>
  <c r="D108" i="2" a="1"/>
  <c r="N108" i="2" a="1"/>
  <c r="L108" i="2" a="1"/>
  <c r="J108" i="2" a="1"/>
  <c r="K108" i="2" a="1"/>
  <c r="P108" i="2" a="1"/>
  <c r="Q108" i="2" a="1"/>
  <c r="I108" i="2" a="1"/>
  <c r="G108" i="2" a="1"/>
  <c r="B109" i="2"/>
  <c r="E109" i="2" l="1" a="1"/>
  <c r="H109" i="2" a="1"/>
  <c r="G109" i="2" a="1"/>
  <c r="J109" i="2" a="1"/>
  <c r="F109" i="2" a="1"/>
  <c r="K109" i="2" a="1"/>
  <c r="M109" i="2" a="1"/>
  <c r="O109" i="2" a="1"/>
  <c r="Q109" i="2" a="1"/>
  <c r="D109" i="2" a="1"/>
  <c r="L109" i="2" a="1"/>
  <c r="N109" i="2" a="1"/>
  <c r="C109" i="2" a="1"/>
  <c r="B110" i="2"/>
  <c r="I109" i="2" a="1"/>
  <c r="P109" i="2" a="1"/>
  <c r="R109" i="2" a="1"/>
  <c r="K110" i="2" l="1" a="1"/>
  <c r="F110" i="2" a="1"/>
  <c r="H110" i="2" a="1"/>
  <c r="G110" i="2" a="1"/>
  <c r="L110" i="2" a="1"/>
  <c r="M110" i="2" a="1"/>
  <c r="N110" i="2" a="1"/>
  <c r="E110" i="2" a="1"/>
  <c r="J110" i="2" a="1"/>
  <c r="I110" i="2" a="1"/>
  <c r="D110" i="2" a="1"/>
  <c r="O110" i="2" a="1"/>
  <c r="P110" i="2" a="1"/>
  <c r="Q110" i="2" a="1"/>
  <c r="R110" i="2" a="1"/>
  <c r="B111" i="2"/>
  <c r="C110" i="2" a="1"/>
  <c r="R111" i="2" l="1" a="1"/>
  <c r="N111" i="2" a="1"/>
  <c r="E111" i="2" a="1"/>
  <c r="D111" i="2" a="1"/>
  <c r="M111" i="2" a="1"/>
  <c r="L111" i="2" a="1"/>
  <c r="H111" i="2" a="1"/>
  <c r="Q111" i="2" a="1"/>
  <c r="G111" i="2" a="1"/>
  <c r="I111" i="2" a="1"/>
  <c r="P111" i="2" a="1"/>
  <c r="O111" i="2" a="1"/>
  <c r="F111" i="2" a="1"/>
  <c r="K111" i="2" a="1"/>
  <c r="J111" i="2" a="1"/>
  <c r="B112" i="2"/>
  <c r="C111" i="2" a="1"/>
  <c r="E112" i="2" l="1" a="1"/>
  <c r="K112" i="2" a="1"/>
  <c r="N112" i="2" a="1"/>
  <c r="R112" i="2" a="1"/>
  <c r="G112" i="2" a="1"/>
  <c r="J112" i="2" a="1"/>
  <c r="O112" i="2" a="1"/>
  <c r="P112" i="2" a="1"/>
  <c r="I112" i="2" a="1"/>
  <c r="M112" i="2" a="1"/>
  <c r="D112" i="2" a="1"/>
  <c r="H112" i="2" a="1"/>
  <c r="F112" i="2" a="1"/>
  <c r="L112" i="2" a="1"/>
  <c r="Q112" i="2" a="1"/>
  <c r="B113" i="2"/>
  <c r="C112" i="2" a="1"/>
  <c r="N113" i="2" l="1" a="1"/>
  <c r="H113" i="2" a="1"/>
  <c r="M113" i="2" a="1"/>
  <c r="D113" i="2" a="1"/>
  <c r="R113" i="2" a="1"/>
  <c r="I113" i="2" a="1"/>
  <c r="E113" i="2" a="1"/>
  <c r="Q113" i="2" a="1"/>
  <c r="F113" i="2" a="1"/>
  <c r="L113" i="2" a="1"/>
  <c r="O113" i="2" a="1"/>
  <c r="G113" i="2" a="1"/>
  <c r="J113" i="2" a="1"/>
  <c r="P113" i="2" a="1"/>
  <c r="K113" i="2" a="1"/>
  <c r="B114" i="2"/>
  <c r="C113" i="2" a="1"/>
  <c r="R114" i="2" l="1" a="1"/>
  <c r="O114" i="2" a="1"/>
  <c r="J114" i="2" a="1"/>
  <c r="I114" i="2" a="1"/>
  <c r="L114" i="2" a="1"/>
  <c r="M114" i="2" a="1"/>
  <c r="H114" i="2" a="1"/>
  <c r="N114" i="2" a="1"/>
  <c r="F114" i="2" a="1"/>
  <c r="K114" i="2" a="1"/>
  <c r="G114" i="2" a="1"/>
  <c r="E114" i="2" a="1"/>
  <c r="D114" i="2" a="1"/>
  <c r="P114" i="2" a="1"/>
  <c r="Q114" i="2" a="1"/>
  <c r="B115" i="2"/>
  <c r="C114" i="2" a="1"/>
  <c r="Q115" i="2" l="1" a="1"/>
  <c r="R115" i="2" a="1"/>
  <c r="L115" i="2" a="1"/>
  <c r="D115" i="2" a="1"/>
  <c r="O115" i="2" a="1"/>
  <c r="K115" i="2" a="1"/>
  <c r="M115" i="2" a="1"/>
  <c r="E115" i="2" a="1"/>
  <c r="J115" i="2" a="1"/>
  <c r="P115" i="2" a="1"/>
  <c r="H115" i="2" a="1"/>
  <c r="G115" i="2" a="1"/>
  <c r="F115" i="2" a="1"/>
  <c r="I115" i="2" a="1"/>
  <c r="N115" i="2" a="1"/>
  <c r="B116" i="2"/>
  <c r="C115" i="2" a="1"/>
  <c r="M116" i="2" l="1" a="1"/>
  <c r="L116" i="2" a="1"/>
  <c r="K116" i="2" a="1"/>
  <c r="I116" i="2" a="1"/>
  <c r="Q116" i="2" a="1"/>
  <c r="J116" i="2" a="1"/>
  <c r="D116" i="2" a="1"/>
  <c r="H116" i="2" a="1"/>
  <c r="E116" i="2" a="1"/>
  <c r="N116" i="2" a="1"/>
  <c r="F116" i="2" a="1"/>
  <c r="O116" i="2" a="1"/>
  <c r="R116" i="2" a="1"/>
  <c r="P116" i="2" a="1"/>
  <c r="G116" i="2" a="1"/>
  <c r="B117" i="2"/>
  <c r="C116" i="2" a="1"/>
  <c r="I117" i="2" l="1" a="1"/>
  <c r="R117" i="2" a="1"/>
  <c r="E117" i="2" a="1"/>
  <c r="O117" i="2" a="1"/>
  <c r="F117" i="2" a="1"/>
  <c r="G117" i="2" a="1"/>
  <c r="D117" i="2" a="1"/>
  <c r="M117" i="2" a="1"/>
  <c r="H117" i="2" a="1"/>
  <c r="N117" i="2" a="1"/>
  <c r="P117" i="2" a="1"/>
  <c r="Q117" i="2" a="1"/>
  <c r="L117" i="2" a="1"/>
  <c r="K117" i="2" a="1"/>
  <c r="J117" i="2" a="1"/>
  <c r="B118" i="2"/>
  <c r="M118" i="2" s="1" a="1"/>
  <c r="C117" i="2" a="1"/>
  <c r="I118" i="2" l="1" a="1"/>
  <c r="H118" i="2" a="1"/>
  <c r="K118" i="2" a="1"/>
  <c r="L118" i="2" a="1"/>
  <c r="J118" i="2" a="1"/>
  <c r="O118" i="2" a="1"/>
  <c r="P118" i="2" a="1"/>
  <c r="E118" i="2" a="1"/>
  <c r="N118" i="2" a="1"/>
  <c r="R118" i="2" a="1"/>
  <c r="D118" i="2" a="1"/>
  <c r="F118" i="2" a="1"/>
  <c r="Q118" i="2" a="1"/>
  <c r="G118" i="2" a="1"/>
  <c r="B119" i="2"/>
  <c r="C118" i="2" a="1"/>
  <c r="R119" i="2" l="1" a="1"/>
  <c r="G119" i="2" a="1"/>
  <c r="P119" i="2" a="1"/>
  <c r="H119" i="2" a="1"/>
  <c r="Q119" i="2" a="1"/>
  <c r="N119" i="2" a="1"/>
  <c r="D119" i="2" a="1"/>
  <c r="I119" i="2" a="1"/>
  <c r="E119" i="2" a="1"/>
  <c r="L119" i="2" a="1"/>
  <c r="M119" i="2" a="1"/>
  <c r="J119" i="2" a="1"/>
  <c r="F119" i="2" a="1"/>
  <c r="K119" i="2" a="1"/>
  <c r="O119" i="2" a="1"/>
  <c r="B120" i="2"/>
  <c r="C119" i="2" a="1"/>
  <c r="K120" i="2" l="1" a="1"/>
  <c r="J120" i="2" a="1"/>
  <c r="O120" i="2" a="1"/>
  <c r="N120" i="2" a="1"/>
  <c r="E120" i="2" a="1"/>
  <c r="I120" i="2" a="1"/>
  <c r="G120" i="2" a="1"/>
  <c r="M120" i="2" a="1"/>
  <c r="H120" i="2" a="1"/>
  <c r="Q120" i="2" a="1"/>
  <c r="P120" i="2" a="1"/>
  <c r="F120" i="2" a="1"/>
  <c r="L120" i="2" a="1"/>
  <c r="D120" i="2" a="1"/>
  <c r="R120" i="2" a="1"/>
  <c r="B121" i="2"/>
  <c r="C120" i="2" a="1"/>
  <c r="M121" i="2" l="1" a="1"/>
  <c r="L121" i="2" a="1"/>
  <c r="D121" i="2" a="1"/>
  <c r="F121" i="2" a="1"/>
  <c r="H121" i="2" a="1"/>
  <c r="O121" i="2" a="1"/>
  <c r="P121" i="2" a="1"/>
  <c r="G121" i="2" a="1"/>
  <c r="R121" i="2" a="1"/>
  <c r="I121" i="2" a="1"/>
  <c r="Q121" i="2" a="1"/>
  <c r="J121" i="2" a="1"/>
  <c r="K121" i="2" a="1"/>
  <c r="E121" i="2" a="1"/>
  <c r="N121" i="2" a="1"/>
  <c r="B122" i="2"/>
  <c r="C121" i="2" a="1"/>
  <c r="O122" i="2" l="1" a="1"/>
  <c r="G122" i="2" a="1"/>
  <c r="Q122" i="2" a="1"/>
  <c r="L122" i="2" a="1"/>
  <c r="I122" i="2" a="1"/>
  <c r="D122" i="2" a="1"/>
  <c r="J122" i="2" a="1"/>
  <c r="E122" i="2" a="1"/>
  <c r="K122" i="2" a="1"/>
  <c r="P122" i="2" a="1"/>
  <c r="M122" i="2" a="1"/>
  <c r="R122" i="2" a="1"/>
  <c r="H122" i="2" a="1"/>
  <c r="F122" i="2" a="1"/>
  <c r="N122" i="2" a="1"/>
  <c r="B123" i="2"/>
  <c r="C122" i="2" a="1"/>
  <c r="L123" i="2" l="1" a="1"/>
  <c r="M123" i="2" a="1"/>
  <c r="D123" i="2" a="1"/>
  <c r="E123" i="2" a="1"/>
  <c r="N123" i="2" a="1"/>
  <c r="O123" i="2" a="1"/>
  <c r="G123" i="2" a="1"/>
  <c r="I123" i="2" a="1"/>
  <c r="K123" i="2" a="1"/>
  <c r="H123" i="2" a="1"/>
  <c r="F123" i="2" a="1"/>
  <c r="Q123" i="2" a="1"/>
  <c r="J123" i="2" a="1"/>
  <c r="R123" i="2" a="1"/>
  <c r="P123" i="2" a="1"/>
  <c r="B124" i="2"/>
  <c r="C123" i="2" a="1"/>
  <c r="O124" i="2" l="1" a="1"/>
  <c r="F124" i="2" a="1"/>
  <c r="H124" i="2" a="1"/>
  <c r="P124" i="2" a="1"/>
  <c r="G124" i="2" a="1"/>
  <c r="Q124" i="2" a="1"/>
  <c r="R124" i="2" a="1"/>
  <c r="I124" i="2" a="1"/>
  <c r="J124" i="2" a="1"/>
  <c r="K124" i="2" a="1"/>
  <c r="D124" i="2" a="1"/>
  <c r="M124" i="2" a="1"/>
  <c r="E124" i="2" a="1"/>
  <c r="N124" i="2" a="1"/>
  <c r="L124" i="2" a="1"/>
  <c r="B125" i="2"/>
  <c r="C124" i="2" a="1"/>
  <c r="G125" i="2" l="1" a="1"/>
  <c r="P125" i="2" a="1"/>
  <c r="Q125" i="2" a="1"/>
  <c r="K125" i="2" a="1"/>
  <c r="N125" i="2" a="1"/>
  <c r="M125" i="2" a="1"/>
  <c r="I125" i="2" a="1"/>
  <c r="H125" i="2" a="1"/>
  <c r="O125" i="2" a="1"/>
  <c r="F125" i="2" a="1"/>
  <c r="D125" i="2" a="1"/>
  <c r="E125" i="2" a="1"/>
  <c r="J125" i="2" a="1"/>
  <c r="L125" i="2" a="1"/>
  <c r="R125" i="2" a="1"/>
  <c r="B126" i="2"/>
  <c r="P126" i="2" s="1" a="1"/>
  <c r="C125" i="2" a="1"/>
  <c r="E126" i="2" l="1" a="1"/>
  <c r="O126" i="2" a="1"/>
  <c r="K126" i="2" a="1"/>
  <c r="Q126" i="2" a="1"/>
  <c r="R126" i="2" a="1"/>
  <c r="G126" i="2" a="1"/>
  <c r="J126" i="2" a="1"/>
  <c r="I126" i="2" a="1"/>
  <c r="M126" i="2" a="1"/>
  <c r="N126" i="2" a="1"/>
  <c r="F126" i="2" a="1"/>
  <c r="H126" i="2" a="1"/>
  <c r="L126" i="2" a="1"/>
  <c r="D126" i="2" a="1"/>
  <c r="B127" i="2"/>
  <c r="C126" i="2" a="1"/>
  <c r="J127" i="2" l="1" a="1"/>
  <c r="P127" i="2" a="1"/>
  <c r="D127" i="2" a="1"/>
  <c r="F127" i="2" a="1"/>
  <c r="G127" i="2" a="1"/>
  <c r="N127" i="2" a="1"/>
  <c r="K127" i="2" a="1"/>
  <c r="R127" i="2" a="1"/>
  <c r="H127" i="2" a="1"/>
  <c r="I127" i="2" a="1"/>
  <c r="M127" i="2" a="1"/>
  <c r="E127" i="2" a="1"/>
  <c r="L127" i="2" a="1"/>
  <c r="Q127" i="2" a="1"/>
  <c r="O127" i="2" a="1"/>
  <c r="B128" i="2"/>
  <c r="C127" i="2" a="1"/>
  <c r="J128" i="2" l="1" a="1"/>
  <c r="E128" i="2" a="1"/>
  <c r="H128" i="2" a="1"/>
  <c r="F128" i="2" a="1"/>
  <c r="M128" i="2" a="1"/>
  <c r="Q128" i="2" a="1"/>
  <c r="P128" i="2" a="1"/>
  <c r="D128" i="2" a="1"/>
  <c r="R128" i="2" a="1"/>
  <c r="G128" i="2" a="1"/>
  <c r="O128" i="2" a="1"/>
  <c r="L128" i="2" a="1"/>
  <c r="I128" i="2" a="1"/>
  <c r="K128" i="2" a="1"/>
  <c r="N128" i="2" a="1"/>
  <c r="B129" i="2"/>
  <c r="C128" i="2" a="1"/>
  <c r="L129" i="2" l="1" a="1"/>
  <c r="I129" i="2" a="1"/>
  <c r="H129" i="2" a="1"/>
  <c r="M129" i="2" a="1"/>
  <c r="O129" i="2" a="1"/>
  <c r="G129" i="2" a="1"/>
  <c r="Q129" i="2" a="1"/>
  <c r="D129" i="2" a="1"/>
  <c r="P129" i="2" a="1"/>
  <c r="F129" i="2" a="1"/>
  <c r="K129" i="2" a="1"/>
  <c r="N129" i="2" a="1"/>
  <c r="R129" i="2" a="1"/>
  <c r="E129" i="2" a="1"/>
  <c r="J129" i="2" a="1"/>
  <c r="B130" i="2"/>
  <c r="I130" i="2" s="1" a="1"/>
  <c r="C129" i="2" a="1"/>
  <c r="K130" i="2" l="1" a="1"/>
  <c r="G130" i="2" a="1"/>
  <c r="Q130" i="2" a="1"/>
  <c r="M130" i="2" a="1"/>
  <c r="O130" i="2" a="1"/>
  <c r="P130" i="2" a="1"/>
  <c r="J130" i="2" a="1"/>
  <c r="D130" i="2" a="1"/>
  <c r="R130" i="2" a="1"/>
  <c r="L130" i="2" a="1"/>
  <c r="H130" i="2" a="1"/>
  <c r="F130" i="2" a="1"/>
  <c r="N130" i="2" a="1"/>
  <c r="E130" i="2" a="1"/>
  <c r="B131" i="2"/>
  <c r="C130" i="2" a="1"/>
  <c r="K131" i="2" l="1" a="1"/>
  <c r="M131" i="2" a="1"/>
  <c r="O131" i="2" a="1"/>
  <c r="E131" i="2" a="1"/>
  <c r="Q131" i="2" a="1"/>
  <c r="R131" i="2" a="1"/>
  <c r="F131" i="2" a="1"/>
  <c r="G131" i="2" a="1"/>
  <c r="I131" i="2" a="1"/>
  <c r="H131" i="2" a="1"/>
  <c r="L131" i="2" a="1"/>
  <c r="J131" i="2" a="1"/>
  <c r="N131" i="2" a="1"/>
  <c r="D131" i="2" a="1"/>
  <c r="P131" i="2" a="1"/>
  <c r="B132" i="2"/>
  <c r="C131" i="2" a="1"/>
  <c r="L132" i="2" l="1" a="1"/>
  <c r="N132" i="2" a="1"/>
  <c r="E132" i="2" a="1"/>
  <c r="P132" i="2" a="1"/>
  <c r="H132" i="2" a="1"/>
  <c r="F132" i="2" a="1"/>
  <c r="R132" i="2" a="1"/>
  <c r="G132" i="2" a="1"/>
  <c r="J132" i="2" a="1"/>
  <c r="M132" i="2" a="1"/>
  <c r="Q132" i="2" a="1"/>
  <c r="D132" i="2" a="1"/>
  <c r="K132" i="2" a="1"/>
  <c r="O132" i="2" a="1"/>
  <c r="I132" i="2" a="1"/>
  <c r="B133" i="2"/>
  <c r="C132" i="2" a="1"/>
  <c r="H133" i="2" l="1" a="1"/>
  <c r="F133" i="2" a="1"/>
  <c r="Q133" i="2" a="1"/>
  <c r="K133" i="2" a="1"/>
  <c r="D133" i="2" a="1"/>
  <c r="I133" i="2" a="1"/>
  <c r="E133" i="2" a="1"/>
  <c r="N133" i="2" a="1"/>
  <c r="G133" i="2" a="1"/>
  <c r="L133" i="2" a="1"/>
  <c r="M133" i="2" a="1"/>
  <c r="P133" i="2" a="1"/>
  <c r="J133" i="2" a="1"/>
  <c r="R133" i="2" a="1"/>
  <c r="O133" i="2" a="1"/>
  <c r="B134" i="2"/>
  <c r="C133" i="2" a="1"/>
  <c r="R134" i="2" l="1" a="1"/>
  <c r="P134" i="2" a="1"/>
  <c r="O134" i="2" a="1"/>
  <c r="N134" i="2" a="1"/>
  <c r="L134" i="2" a="1"/>
  <c r="K134" i="2" a="1"/>
  <c r="J134" i="2" a="1"/>
  <c r="I134" i="2" a="1"/>
  <c r="H134" i="2" a="1"/>
  <c r="Q134" i="2" a="1"/>
  <c r="E134" i="2" a="1"/>
  <c r="F134" i="2" a="1"/>
  <c r="D134" i="2" a="1"/>
  <c r="G134" i="2" a="1"/>
  <c r="M134" i="2" a="1"/>
  <c r="B135" i="2"/>
  <c r="C134" i="2" a="1"/>
  <c r="E135" i="2" l="1" a="1"/>
  <c r="D135" i="2" a="1"/>
  <c r="F135" i="2" a="1"/>
  <c r="P135" i="2" a="1"/>
  <c r="N135" i="2" a="1"/>
  <c r="K135" i="2" a="1"/>
  <c r="H135" i="2" a="1"/>
  <c r="Q135" i="2" a="1"/>
  <c r="O135" i="2" a="1"/>
  <c r="R135" i="2" a="1"/>
  <c r="M135" i="2" a="1"/>
  <c r="G135" i="2" a="1"/>
  <c r="C135" i="2" a="1"/>
  <c r="I135" i="2" a="1"/>
  <c r="J135" i="2" a="1"/>
  <c r="L135" i="2" a="1"/>
  <c r="B136" i="2"/>
  <c r="M136" i="2" l="1" a="1"/>
  <c r="D136" i="2" a="1"/>
  <c r="I136" i="2" a="1"/>
  <c r="L136" i="2" a="1"/>
  <c r="F136" i="2" a="1"/>
  <c r="J136" i="2" a="1"/>
  <c r="K136" i="2" a="1"/>
  <c r="C136" i="2" a="1"/>
  <c r="H136" i="2" a="1"/>
  <c r="R136" i="2" a="1"/>
  <c r="E136" i="2" a="1"/>
  <c r="P136" i="2" a="1"/>
  <c r="Q136" i="2" a="1"/>
  <c r="G136" i="2" a="1"/>
  <c r="N136" i="2" a="1"/>
  <c r="O136" i="2" a="1"/>
  <c r="B137" i="2"/>
  <c r="R137" i="2" s="1" a="1"/>
  <c r="E137" i="2" l="1" a="1"/>
  <c r="H137" i="2" a="1"/>
  <c r="G137" i="2" a="1"/>
  <c r="B138" i="2"/>
  <c r="G138" i="2" s="1" a="1"/>
  <c r="M137" i="2" a="1"/>
  <c r="O137" i="2" a="1"/>
  <c r="K137" i="2" a="1"/>
  <c r="I137" i="2" a="1"/>
  <c r="N137" i="2" a="1"/>
  <c r="L137" i="2" a="1"/>
  <c r="D137" i="2" a="1"/>
  <c r="P137" i="2" a="1"/>
  <c r="J137" i="2" a="1"/>
  <c r="Q137" i="2" a="1"/>
  <c r="F137" i="2" a="1"/>
  <c r="C137" i="2" a="1"/>
  <c r="L138" i="2" l="1" a="1"/>
  <c r="O138" i="2" a="1"/>
  <c r="N138" i="2" a="1"/>
  <c r="M138" i="2" a="1"/>
  <c r="F138" i="2" a="1"/>
  <c r="K138" i="2" a="1"/>
  <c r="H138" i="2" a="1"/>
  <c r="I138" i="2" a="1"/>
  <c r="J138" i="2" a="1"/>
  <c r="D138" i="2" a="1"/>
  <c r="E138" i="2" a="1"/>
  <c r="R138" i="2" a="1"/>
  <c r="Q138" i="2" a="1"/>
  <c r="C138" i="2" a="1"/>
  <c r="P138" i="2" a="1"/>
  <c r="B139" i="2"/>
  <c r="L139" i="2" s="1" a="1"/>
  <c r="B140" i="2" l="1"/>
  <c r="F139" i="2" a="1"/>
  <c r="H139" i="2" a="1"/>
  <c r="K139" i="2" a="1"/>
  <c r="R139" i="2" a="1"/>
  <c r="Q139" i="2" a="1"/>
  <c r="O139" i="2" a="1"/>
  <c r="J139" i="2" a="1"/>
  <c r="P139" i="2" a="1"/>
  <c r="N139" i="2" a="1"/>
  <c r="I139" i="2" a="1"/>
  <c r="E139" i="2" a="1"/>
  <c r="G139" i="2" a="1"/>
  <c r="M139" i="2" a="1"/>
  <c r="D139" i="2" a="1"/>
  <c r="C139" i="2" a="1"/>
  <c r="B141" i="2" l="1"/>
  <c r="O140" i="2" a="1"/>
  <c r="E140" i="2" a="1"/>
  <c r="P140" i="2" a="1"/>
  <c r="N140" i="2" a="1"/>
  <c r="G140" i="2" a="1"/>
  <c r="L140" i="2" a="1"/>
  <c r="I140" i="2" a="1"/>
  <c r="K140" i="2" a="1"/>
  <c r="Q140" i="2" a="1"/>
  <c r="F140" i="2" a="1"/>
  <c r="J140" i="2" a="1"/>
  <c r="H140" i="2" a="1"/>
  <c r="R140" i="2" a="1"/>
  <c r="M140" i="2" a="1"/>
  <c r="D140" i="2" a="1"/>
  <c r="C140" i="2" a="1"/>
  <c r="B142" i="2" l="1"/>
  <c r="P142" i="2" s="1" a="1"/>
  <c r="Q141" i="2" a="1"/>
  <c r="J141" i="2" a="1"/>
  <c r="P141" i="2" a="1"/>
  <c r="F141" i="2" a="1"/>
  <c r="I141" i="2" a="1"/>
  <c r="O141" i="2" a="1"/>
  <c r="H141" i="2" a="1"/>
  <c r="K141" i="2" a="1"/>
  <c r="M141" i="2" a="1"/>
  <c r="D141" i="2" a="1"/>
  <c r="G141" i="2" a="1"/>
  <c r="E141" i="2" a="1"/>
  <c r="R141" i="2" a="1"/>
  <c r="L141" i="2" a="1"/>
  <c r="N141" i="2" a="1"/>
  <c r="C141" i="2" a="1"/>
  <c r="G142" i="2" l="1" a="1"/>
  <c r="I142" i="2" a="1"/>
  <c r="R142" i="2" a="1"/>
  <c r="K142" i="2" a="1"/>
  <c r="H142" i="2" a="1"/>
  <c r="Q142" i="2" a="1"/>
  <c r="E142" i="2" a="1"/>
  <c r="F142" i="2" a="1"/>
  <c r="M142" i="2" a="1"/>
  <c r="L142" i="2" a="1"/>
  <c r="N142" i="2" a="1"/>
  <c r="J142" i="2" a="1"/>
  <c r="O142" i="2" a="1"/>
  <c r="D142" i="2" a="1"/>
  <c r="B143" i="2"/>
  <c r="D143" i="2" s="1" a="1"/>
  <c r="C142" i="2" a="1"/>
  <c r="C143" i="2" l="1" a="1"/>
  <c r="F143" i="2" a="1"/>
  <c r="K143" i="2" a="1"/>
  <c r="I143" i="2" a="1"/>
  <c r="N143" i="2" a="1"/>
  <c r="J143" i="2" a="1"/>
  <c r="H143" i="2" a="1"/>
  <c r="G143" i="2" a="1"/>
  <c r="O143" i="2" a="1"/>
  <c r="M143" i="2" a="1"/>
  <c r="R143" i="2" a="1"/>
  <c r="L143" i="2" a="1"/>
  <c r="E143" i="2" a="1"/>
  <c r="Q143" i="2" a="1"/>
  <c r="P143" i="2" a="1"/>
  <c r="B144" i="2"/>
  <c r="C144" i="2" l="1" a="1"/>
  <c r="I144" i="2" a="1"/>
  <c r="O144" i="2" a="1"/>
  <c r="K144" i="2" a="1"/>
  <c r="G144" i="2" a="1"/>
  <c r="E144" i="2" a="1"/>
  <c r="L144" i="2" a="1"/>
  <c r="H144" i="2" a="1"/>
  <c r="D144" i="2" a="1"/>
  <c r="N144" i="2" a="1"/>
  <c r="J144" i="2" a="1"/>
  <c r="M144" i="2" a="1"/>
  <c r="F144" i="2" a="1"/>
  <c r="Q144" i="2" a="1"/>
  <c r="R144" i="2" a="1"/>
  <c r="P144" i="2" a="1"/>
  <c r="B145" i="2"/>
  <c r="B146" i="2" l="1"/>
  <c r="D145" i="2" a="1"/>
  <c r="M145" i="2" a="1"/>
  <c r="F145" i="2" a="1"/>
  <c r="E145" i="2" a="1"/>
  <c r="R145" i="2" a="1"/>
  <c r="N145" i="2" a="1"/>
  <c r="Q145" i="2" a="1"/>
  <c r="J145" i="2" a="1"/>
  <c r="G145" i="2" a="1"/>
  <c r="I145" i="2" a="1"/>
  <c r="H145" i="2" a="1"/>
  <c r="L145" i="2" a="1"/>
  <c r="C145" i="2" a="1"/>
  <c r="O145" i="2" a="1"/>
  <c r="P145" i="2" a="1"/>
  <c r="K145" i="2" a="1"/>
  <c r="B147" i="2" l="1"/>
  <c r="L146" i="2" a="1"/>
  <c r="G146" i="2" a="1"/>
  <c r="E146" i="2" a="1"/>
  <c r="C146" i="2" a="1"/>
  <c r="D146" i="2" a="1"/>
  <c r="Q146" i="2" a="1"/>
  <c r="R146" i="2" a="1"/>
  <c r="H146" i="2" a="1"/>
  <c r="P146" i="2" a="1"/>
  <c r="M146" i="2" a="1"/>
  <c r="J146" i="2" a="1"/>
  <c r="N146" i="2" a="1"/>
  <c r="K146" i="2" a="1"/>
  <c r="F146" i="2" a="1"/>
  <c r="I146" i="2" a="1"/>
  <c r="O146" i="2" a="1"/>
  <c r="B148" i="2" l="1"/>
  <c r="Q147" i="2" a="1"/>
  <c r="L147" i="2" a="1"/>
  <c r="M147" i="2" a="1"/>
  <c r="H147" i="2" a="1"/>
  <c r="J147" i="2" a="1"/>
  <c r="N147" i="2" a="1"/>
  <c r="R147" i="2" a="1"/>
  <c r="K147" i="2" a="1"/>
  <c r="P147" i="2" a="1"/>
  <c r="E147" i="2" a="1"/>
  <c r="G147" i="2" a="1"/>
  <c r="O147" i="2" a="1"/>
  <c r="C147" i="2" a="1"/>
  <c r="I147" i="2" a="1"/>
  <c r="F147" i="2" a="1"/>
  <c r="D147" i="2" a="1"/>
  <c r="B149" i="2" l="1"/>
  <c r="P148" i="2" a="1"/>
  <c r="H148" i="2" a="1"/>
  <c r="C148" i="2" a="1"/>
  <c r="M148" i="2" a="1"/>
  <c r="N148" i="2" a="1"/>
  <c r="L148" i="2" a="1"/>
  <c r="R148" i="2" a="1"/>
  <c r="Q148" i="2" a="1"/>
  <c r="G148" i="2" a="1"/>
  <c r="I148" i="2" a="1"/>
  <c r="F148" i="2" a="1"/>
  <c r="K148" i="2" a="1"/>
  <c r="D148" i="2" a="1"/>
  <c r="E148" i="2" a="1"/>
  <c r="J148" i="2" a="1"/>
  <c r="O148" i="2" a="1"/>
  <c r="B150" i="2" l="1"/>
  <c r="E149" i="2" a="1"/>
  <c r="R149" i="2" a="1"/>
  <c r="C149" i="2" a="1"/>
  <c r="O149" i="2" a="1"/>
  <c r="K149" i="2" a="1"/>
  <c r="F149" i="2" a="1"/>
  <c r="D149" i="2" a="1"/>
  <c r="H149" i="2" a="1"/>
  <c r="I149" i="2" a="1"/>
  <c r="N149" i="2" a="1"/>
  <c r="Q149" i="2" a="1"/>
  <c r="P149" i="2" a="1"/>
  <c r="G149" i="2" a="1"/>
  <c r="J149" i="2" a="1"/>
  <c r="L149" i="2" a="1"/>
  <c r="M149" i="2" a="1"/>
  <c r="B151" i="2" l="1"/>
  <c r="K150" i="2" a="1"/>
  <c r="L150" i="2" a="1"/>
  <c r="H150" i="2" a="1"/>
  <c r="E150" i="2" a="1"/>
  <c r="I150" i="2" a="1"/>
  <c r="O150" i="2" a="1"/>
  <c r="P150" i="2" a="1"/>
  <c r="M150" i="2" a="1"/>
  <c r="R150" i="2" a="1"/>
  <c r="C150" i="2" a="1"/>
  <c r="Q150" i="2" a="1"/>
  <c r="G150" i="2" a="1"/>
  <c r="N150" i="2" a="1"/>
  <c r="D150" i="2" a="1"/>
  <c r="F150" i="2" a="1"/>
  <c r="J150" i="2" a="1"/>
  <c r="B152" i="2" l="1"/>
  <c r="L151" i="2" a="1"/>
  <c r="K151" i="2" a="1"/>
  <c r="G151" i="2" a="1"/>
  <c r="R151" i="2" a="1"/>
  <c r="C151" i="2" a="1"/>
  <c r="N151" i="2" a="1"/>
  <c r="O151" i="2" a="1"/>
  <c r="H151" i="2" a="1"/>
  <c r="I151" i="2" a="1"/>
  <c r="E151" i="2" a="1"/>
  <c r="D151" i="2" a="1"/>
  <c r="F151" i="2" a="1"/>
  <c r="J151" i="2" a="1"/>
  <c r="Q151" i="2" a="1"/>
  <c r="P151" i="2" a="1"/>
  <c r="M151" i="2" a="1"/>
  <c r="B153" i="2" l="1"/>
  <c r="K152" i="2" a="1"/>
  <c r="F152" i="2" a="1"/>
  <c r="L152" i="2" a="1"/>
  <c r="N152" i="2" a="1"/>
  <c r="E152" i="2" a="1"/>
  <c r="P152" i="2" a="1"/>
  <c r="J152" i="2" a="1"/>
  <c r="D152" i="2" a="1"/>
  <c r="G152" i="2" a="1"/>
  <c r="I152" i="2" a="1"/>
  <c r="Q152" i="2" a="1"/>
  <c r="R152" i="2" a="1"/>
  <c r="M152" i="2" a="1"/>
  <c r="H152" i="2" a="1"/>
  <c r="O152" i="2" a="1"/>
  <c r="C152" i="2" a="1"/>
  <c r="B154" i="2" l="1"/>
  <c r="Q153" i="2" a="1"/>
  <c r="N153" i="2" a="1"/>
  <c r="D153" i="2" a="1"/>
  <c r="O153" i="2" a="1"/>
  <c r="J153" i="2" a="1"/>
  <c r="F153" i="2" a="1"/>
  <c r="P153" i="2" a="1"/>
  <c r="R153" i="2" a="1"/>
  <c r="H153" i="2" a="1"/>
  <c r="M153" i="2" a="1"/>
  <c r="C153" i="2" a="1"/>
  <c r="K153" i="2" a="1"/>
  <c r="E153" i="2" a="1"/>
  <c r="I153" i="2" a="1"/>
  <c r="L153" i="2" a="1"/>
  <c r="G153" i="2" a="1"/>
  <c r="B155" i="2" l="1"/>
  <c r="M154" i="2" a="1"/>
  <c r="F154" i="2" a="1"/>
  <c r="G154" i="2" a="1"/>
  <c r="C154" i="2" a="1"/>
  <c r="P154" i="2" a="1"/>
  <c r="L154" i="2" a="1"/>
  <c r="R154" i="2" a="1"/>
  <c r="D154" i="2" a="1"/>
  <c r="I154" i="2" a="1"/>
  <c r="E154" i="2" a="1"/>
  <c r="K154" i="2" a="1"/>
  <c r="H154" i="2" a="1"/>
  <c r="J154" i="2" a="1"/>
  <c r="N154" i="2" a="1"/>
  <c r="O154" i="2" a="1"/>
  <c r="Q154" i="2" a="1"/>
  <c r="B156" i="2" l="1"/>
  <c r="O155" i="2" a="1"/>
  <c r="C155" i="2" a="1"/>
  <c r="E155" i="2" a="1"/>
  <c r="I155" i="2" a="1"/>
  <c r="M155" i="2" a="1"/>
  <c r="H155" i="2" a="1"/>
  <c r="D155" i="2" a="1"/>
  <c r="L155" i="2" a="1"/>
  <c r="Q155" i="2" a="1"/>
  <c r="G155" i="2" a="1"/>
  <c r="K155" i="2" a="1"/>
  <c r="P155" i="2" a="1"/>
  <c r="N155" i="2" a="1"/>
  <c r="J155" i="2" a="1"/>
  <c r="F155" i="2" a="1"/>
  <c r="R155" i="2" a="1"/>
  <c r="I156" i="2" l="1" a="1"/>
  <c r="H156" i="2" a="1"/>
  <c r="M156" i="2" a="1"/>
  <c r="C156" i="2" a="1"/>
  <c r="D156" i="2" a="1"/>
  <c r="E156" i="2" a="1"/>
  <c r="O156" i="2" a="1"/>
  <c r="R156" i="2" a="1"/>
  <c r="P156" i="2" a="1"/>
  <c r="J156" i="2" a="1"/>
  <c r="F156" i="2" a="1"/>
  <c r="Q156" i="2" a="1"/>
  <c r="N156" i="2" a="1"/>
  <c r="L156" i="2" a="1"/>
  <c r="G156" i="2" a="1"/>
  <c r="K156" i="2" a="1"/>
  <c r="B157" i="2"/>
  <c r="B158" i="2" l="1"/>
  <c r="R157" i="2" a="1"/>
  <c r="P157" i="2" a="1"/>
  <c r="E157" i="2" a="1"/>
  <c r="I157" i="2" a="1"/>
  <c r="L157" i="2" a="1"/>
  <c r="Q157" i="2" a="1"/>
  <c r="O157" i="2" a="1"/>
  <c r="F157" i="2" a="1"/>
  <c r="C157" i="2" a="1"/>
  <c r="N157" i="2" a="1"/>
  <c r="K157" i="2" a="1"/>
  <c r="G157" i="2" a="1"/>
  <c r="M157" i="2" a="1"/>
  <c r="H157" i="2" a="1"/>
  <c r="J157" i="2" a="1"/>
  <c r="D157" i="2" a="1"/>
  <c r="B159" i="2" l="1"/>
  <c r="L158" i="2" a="1"/>
  <c r="D158" i="2" a="1"/>
  <c r="Q158" i="2" a="1"/>
  <c r="H158" i="2" a="1"/>
  <c r="K158" i="2" a="1"/>
  <c r="O158" i="2" a="1"/>
  <c r="F158" i="2" a="1"/>
  <c r="M158" i="2" a="1"/>
  <c r="G158" i="2" a="1"/>
  <c r="P158" i="2" a="1"/>
  <c r="C158" i="2" a="1"/>
  <c r="R158" i="2" a="1"/>
  <c r="J158" i="2" a="1"/>
  <c r="N158" i="2" a="1"/>
  <c r="I158" i="2" a="1"/>
  <c r="E158" i="2" a="1"/>
  <c r="B160" i="2" l="1"/>
  <c r="E159" i="2" a="1"/>
  <c r="M159" i="2" a="1"/>
  <c r="R159" i="2" a="1"/>
  <c r="F159" i="2" a="1"/>
  <c r="K159" i="2" a="1"/>
  <c r="G159" i="2" a="1"/>
  <c r="C159" i="2" a="1"/>
  <c r="L159" i="2" a="1"/>
  <c r="D159" i="2" a="1"/>
  <c r="P159" i="2" a="1"/>
  <c r="N159" i="2" a="1"/>
  <c r="I159" i="2" a="1"/>
  <c r="Q159" i="2" a="1"/>
  <c r="H159" i="2" a="1"/>
  <c r="O159" i="2" a="1"/>
  <c r="J159" i="2" a="1"/>
  <c r="B161" i="2" l="1"/>
  <c r="R160" i="2" a="1"/>
  <c r="G160" i="2" a="1"/>
  <c r="C160" i="2" a="1"/>
  <c r="E160" i="2" a="1"/>
  <c r="I160" i="2" a="1"/>
  <c r="H160" i="2" a="1"/>
  <c r="P160" i="2" a="1"/>
  <c r="N160" i="2" a="1"/>
  <c r="K160" i="2" a="1"/>
  <c r="D160" i="2" a="1"/>
  <c r="Q160" i="2" a="1"/>
  <c r="F160" i="2" a="1"/>
  <c r="M160" i="2" a="1"/>
  <c r="J160" i="2" a="1"/>
  <c r="L160" i="2" a="1"/>
  <c r="O160" i="2" a="1"/>
  <c r="B162" i="2" l="1"/>
  <c r="H161" i="2" a="1"/>
  <c r="P161" i="2" a="1"/>
  <c r="E161" i="2" a="1"/>
  <c r="O161" i="2" a="1"/>
  <c r="N161" i="2" a="1"/>
  <c r="M161" i="2" a="1"/>
  <c r="Q161" i="2" a="1"/>
  <c r="I161" i="2" a="1"/>
  <c r="L161" i="2" a="1"/>
  <c r="G161" i="2" a="1"/>
  <c r="F161" i="2" a="1"/>
  <c r="J161" i="2" a="1"/>
  <c r="D161" i="2" a="1"/>
  <c r="K161" i="2" a="1"/>
  <c r="C161" i="2" a="1"/>
  <c r="R161" i="2" a="1"/>
  <c r="B163" i="2" l="1"/>
  <c r="K162" i="2" a="1"/>
  <c r="E162" i="2" a="1"/>
  <c r="H162" i="2" a="1"/>
  <c r="J162" i="2" a="1"/>
  <c r="O162" i="2" a="1"/>
  <c r="C162" i="2" a="1"/>
  <c r="G162" i="2" a="1"/>
  <c r="F162" i="2" a="1"/>
  <c r="D162" i="2" a="1"/>
  <c r="Q162" i="2" a="1"/>
  <c r="I162" i="2" a="1"/>
  <c r="R162" i="2" a="1"/>
  <c r="N162" i="2" a="1"/>
  <c r="M162" i="2" a="1"/>
  <c r="L162" i="2" a="1"/>
  <c r="P162" i="2" a="1"/>
  <c r="B164" i="2" l="1"/>
  <c r="G163" i="2" a="1"/>
  <c r="L163" i="2" a="1"/>
  <c r="P163" i="2" a="1"/>
  <c r="F163" i="2" a="1"/>
  <c r="K163" i="2" a="1"/>
  <c r="C163" i="2" a="1"/>
  <c r="N163" i="2" a="1"/>
  <c r="E163" i="2" a="1"/>
  <c r="J163" i="2" a="1"/>
  <c r="D163" i="2" a="1"/>
  <c r="I163" i="2" a="1"/>
  <c r="H163" i="2" a="1"/>
  <c r="M163" i="2" a="1"/>
  <c r="Q163" i="2" a="1"/>
  <c r="R163" i="2" a="1"/>
  <c r="O163" i="2" a="1"/>
  <c r="B165" i="2" l="1"/>
  <c r="P164" i="2" a="1"/>
  <c r="Q164" i="2" a="1"/>
  <c r="R164" i="2" a="1"/>
  <c r="E164" i="2" a="1"/>
  <c r="G164" i="2" a="1"/>
  <c r="J164" i="2" a="1"/>
  <c r="L164" i="2" a="1"/>
  <c r="M164" i="2" a="1"/>
  <c r="N164" i="2" a="1"/>
  <c r="C164" i="2" a="1"/>
  <c r="D164" i="2" a="1"/>
  <c r="F164" i="2" a="1"/>
  <c r="H164" i="2" a="1"/>
  <c r="I164" i="2" a="1"/>
  <c r="K164" i="2" a="1"/>
  <c r="O164" i="2" a="1"/>
  <c r="B166" i="2" l="1"/>
  <c r="E165" i="2" a="1"/>
  <c r="C165" i="2" a="1"/>
  <c r="D165" i="2" a="1"/>
  <c r="F165" i="2" a="1"/>
  <c r="Q165" i="2" a="1"/>
  <c r="R165" i="2" a="1"/>
  <c r="G165" i="2" a="1"/>
  <c r="H165" i="2" a="1"/>
  <c r="I165" i="2" a="1"/>
  <c r="J165" i="2" a="1"/>
  <c r="K165" i="2" a="1"/>
  <c r="L165" i="2" a="1"/>
  <c r="M165" i="2" a="1"/>
  <c r="N165" i="2" a="1"/>
  <c r="O165" i="2" a="1"/>
  <c r="P165" i="2" a="1"/>
  <c r="B167" i="2" l="1"/>
  <c r="F166" i="2" a="1"/>
  <c r="L166" i="2" a="1"/>
  <c r="P166" i="2" a="1"/>
  <c r="K166" i="2" a="1"/>
  <c r="J166" i="2" a="1"/>
  <c r="I166" i="2" a="1"/>
  <c r="H166" i="2" a="1"/>
  <c r="M166" i="2" a="1"/>
  <c r="R166" i="2" a="1"/>
  <c r="O166" i="2" a="1"/>
  <c r="N166" i="2" a="1"/>
  <c r="G166" i="2" a="1"/>
  <c r="C166" i="2" a="1"/>
  <c r="E166" i="2" a="1"/>
  <c r="D166" i="2" a="1"/>
  <c r="Q166" i="2" a="1"/>
  <c r="B168" i="2" l="1"/>
  <c r="K167" i="2" a="1"/>
  <c r="Q167" i="2" a="1"/>
  <c r="P167" i="2" a="1"/>
  <c r="J167" i="2" a="1"/>
  <c r="C167" i="2" a="1"/>
  <c r="D167" i="2" a="1"/>
  <c r="R167" i="2" a="1"/>
  <c r="O167" i="2" a="1"/>
  <c r="L167" i="2" a="1"/>
  <c r="E167" i="2" a="1"/>
  <c r="M167" i="2" a="1"/>
  <c r="F167" i="2" a="1"/>
  <c r="N167" i="2" a="1"/>
  <c r="G167" i="2" a="1"/>
  <c r="H167" i="2" a="1"/>
  <c r="I167" i="2" a="1"/>
  <c r="B169" i="2" l="1"/>
  <c r="R168" i="2" a="1"/>
  <c r="Q168" i="2" a="1"/>
  <c r="P168" i="2" a="1"/>
  <c r="N168" i="2" a="1"/>
  <c r="E168" i="2" a="1"/>
  <c r="M168" i="2" a="1"/>
  <c r="J168" i="2" a="1"/>
  <c r="C168" i="2" a="1"/>
  <c r="G168" i="2" a="1"/>
  <c r="I168" i="2" a="1"/>
  <c r="D168" i="2" a="1"/>
  <c r="K168" i="2" a="1"/>
  <c r="L168" i="2" a="1"/>
  <c r="O168" i="2" a="1"/>
  <c r="F168" i="2" a="1"/>
  <c r="H168" i="2" a="1"/>
  <c r="B170" i="2" l="1"/>
  <c r="I169" i="2" a="1"/>
  <c r="N169" i="2" a="1"/>
  <c r="G169" i="2" a="1"/>
  <c r="R169" i="2" a="1"/>
  <c r="J169" i="2" a="1"/>
  <c r="M169" i="2" a="1"/>
  <c r="F169" i="2" a="1"/>
  <c r="K169" i="2" a="1"/>
  <c r="E169" i="2" a="1"/>
  <c r="C169" i="2" a="1"/>
  <c r="L169" i="2" a="1"/>
  <c r="H169" i="2" a="1"/>
  <c r="Q169" i="2" a="1"/>
  <c r="D169" i="2" a="1"/>
  <c r="P169" i="2" a="1"/>
  <c r="O169" i="2" a="1"/>
  <c r="B171" i="2" l="1"/>
  <c r="M170" i="2" a="1"/>
  <c r="Q170" i="2" a="1"/>
  <c r="N170" i="2" a="1"/>
  <c r="G170" i="2" a="1"/>
  <c r="J170" i="2" a="1"/>
  <c r="O170" i="2" a="1"/>
  <c r="F170" i="2" a="1"/>
  <c r="K170" i="2" a="1"/>
  <c r="C170" i="2" a="1"/>
  <c r="D170" i="2" a="1"/>
  <c r="I170" i="2" a="1"/>
  <c r="P170" i="2" a="1"/>
  <c r="E170" i="2" a="1"/>
  <c r="H170" i="2" a="1"/>
  <c r="R170" i="2" a="1"/>
  <c r="L170" i="2" a="1"/>
  <c r="B172" i="2" l="1"/>
  <c r="R171" i="2" a="1"/>
  <c r="I171" i="2" a="1"/>
  <c r="G171" i="2" a="1"/>
  <c r="J171" i="2" a="1"/>
  <c r="K171" i="2" a="1"/>
  <c r="P171" i="2" a="1"/>
  <c r="C171" i="2" a="1"/>
  <c r="E171" i="2" a="1"/>
  <c r="H171" i="2" a="1"/>
  <c r="L171" i="2" a="1"/>
  <c r="F171" i="2" a="1"/>
  <c r="D171" i="2" a="1"/>
  <c r="M171" i="2" a="1"/>
  <c r="Q171" i="2" a="1"/>
  <c r="O171" i="2" a="1"/>
  <c r="N171" i="2" a="1"/>
  <c r="B173" i="2" l="1"/>
  <c r="N172" i="2" a="1"/>
  <c r="C172" i="2" a="1"/>
  <c r="M172" i="2" a="1"/>
  <c r="L172" i="2" a="1"/>
  <c r="F172" i="2" a="1"/>
  <c r="R172" i="2" a="1"/>
  <c r="P172" i="2" a="1"/>
  <c r="H172" i="2" a="1"/>
  <c r="J172" i="2" a="1"/>
  <c r="O172" i="2" a="1"/>
  <c r="E172" i="2" a="1"/>
  <c r="I172" i="2" a="1"/>
  <c r="Q172" i="2" a="1"/>
  <c r="D172" i="2" a="1"/>
  <c r="K172" i="2" a="1"/>
  <c r="G172" i="2" a="1"/>
  <c r="B174" i="2" l="1"/>
  <c r="E173" i="2" a="1"/>
  <c r="F173" i="2" a="1"/>
  <c r="J173" i="2" a="1"/>
  <c r="M173" i="2" a="1"/>
  <c r="D173" i="2" a="1"/>
  <c r="C173" i="2" a="1"/>
  <c r="I173" i="2" a="1"/>
  <c r="O173" i="2" a="1"/>
  <c r="H173" i="2" a="1"/>
  <c r="L173" i="2" a="1"/>
  <c r="R173" i="2" a="1"/>
  <c r="Q173" i="2" a="1"/>
  <c r="G173" i="2" a="1"/>
  <c r="N173" i="2" a="1"/>
  <c r="P173" i="2" a="1"/>
  <c r="K173" i="2" a="1"/>
  <c r="B175" i="2" l="1"/>
  <c r="C174" i="2" a="1"/>
  <c r="G174" i="2" a="1"/>
  <c r="O174" i="2" a="1"/>
  <c r="P174" i="2" a="1"/>
  <c r="D174" i="2" a="1"/>
  <c r="R174" i="2" a="1"/>
  <c r="K174" i="2" a="1"/>
  <c r="E174" i="2" a="1"/>
  <c r="J174" i="2" a="1"/>
  <c r="F174" i="2" a="1"/>
  <c r="H174" i="2" a="1"/>
  <c r="L174" i="2" a="1"/>
  <c r="I174" i="2" a="1"/>
  <c r="N174" i="2" a="1"/>
  <c r="Q174" i="2" a="1"/>
  <c r="M174" i="2" a="1"/>
  <c r="B176" i="2" l="1"/>
  <c r="N175" i="2" a="1"/>
  <c r="L175" i="2" a="1"/>
  <c r="O175" i="2" a="1"/>
  <c r="F175" i="2" a="1"/>
  <c r="C175" i="2" a="1"/>
  <c r="E175" i="2" a="1"/>
  <c r="G175" i="2" a="1"/>
  <c r="I175" i="2" a="1"/>
  <c r="M175" i="2" a="1"/>
  <c r="H175" i="2" a="1"/>
  <c r="K175" i="2" a="1"/>
  <c r="J175" i="2" a="1"/>
  <c r="P175" i="2" a="1"/>
  <c r="R175" i="2" a="1"/>
  <c r="D175" i="2" a="1"/>
  <c r="Q175" i="2" a="1"/>
  <c r="B177" i="2" l="1"/>
  <c r="C176" i="2" a="1"/>
  <c r="R176" i="2" a="1"/>
  <c r="Q176" i="2" a="1"/>
  <c r="N176" i="2" a="1"/>
  <c r="L176" i="2" a="1"/>
  <c r="J176" i="2" a="1"/>
  <c r="I176" i="2" a="1"/>
  <c r="D176" i="2" a="1"/>
  <c r="P176" i="2" a="1"/>
  <c r="O176" i="2" a="1"/>
  <c r="M176" i="2" a="1"/>
  <c r="K176" i="2" a="1"/>
  <c r="H176" i="2" a="1"/>
  <c r="G176" i="2" a="1"/>
  <c r="F176" i="2" a="1"/>
  <c r="E176" i="2" a="1"/>
  <c r="B178" i="2" l="1"/>
  <c r="N177" i="2" a="1"/>
  <c r="F177" i="2" a="1"/>
  <c r="K177" i="2" a="1"/>
  <c r="R177" i="2" a="1"/>
  <c r="P177" i="2" a="1"/>
  <c r="G177" i="2" a="1"/>
  <c r="M177" i="2" a="1"/>
  <c r="H177" i="2" a="1"/>
  <c r="Q177" i="2" a="1"/>
  <c r="I177" i="2" a="1"/>
  <c r="L177" i="2" a="1"/>
  <c r="O177" i="2" a="1"/>
  <c r="E177" i="2" a="1"/>
  <c r="C177" i="2" a="1"/>
  <c r="D177" i="2" a="1"/>
  <c r="J177" i="2" a="1"/>
  <c r="B179" i="2" l="1"/>
  <c r="L178" i="2" a="1"/>
  <c r="M178" i="2" a="1"/>
  <c r="I178" i="2" a="1"/>
  <c r="J178" i="2" a="1"/>
  <c r="R178" i="2" a="1"/>
  <c r="N178" i="2" a="1"/>
  <c r="O178" i="2" a="1"/>
  <c r="H178" i="2" a="1"/>
  <c r="P178" i="2" a="1"/>
  <c r="K178" i="2" a="1"/>
  <c r="Q178" i="2" a="1"/>
  <c r="E178" i="2" a="1"/>
  <c r="G178" i="2" a="1"/>
  <c r="C178" i="2" a="1"/>
  <c r="D178" i="2" a="1"/>
  <c r="F178" i="2" a="1"/>
  <c r="B180" i="2" l="1"/>
  <c r="R179" i="2" a="1"/>
  <c r="N179" i="2" a="1"/>
  <c r="L179" i="2" a="1"/>
  <c r="F179" i="2" a="1"/>
  <c r="H179" i="2" a="1"/>
  <c r="J179" i="2" a="1"/>
  <c r="K179" i="2" a="1"/>
  <c r="I179" i="2" a="1"/>
  <c r="P179" i="2" a="1"/>
  <c r="D179" i="2" a="1"/>
  <c r="C179" i="2" a="1"/>
  <c r="E179" i="2" a="1"/>
  <c r="G179" i="2" a="1"/>
  <c r="Q179" i="2" a="1"/>
  <c r="O179" i="2" a="1"/>
  <c r="M179" i="2" a="1"/>
  <c r="B181" i="2" l="1"/>
  <c r="C180" i="2" a="1"/>
  <c r="R180" i="2" a="1"/>
  <c r="P180" i="2" a="1"/>
  <c r="N180" i="2" a="1"/>
  <c r="K180" i="2" a="1"/>
  <c r="Q180" i="2" a="1"/>
  <c r="O180" i="2" a="1"/>
  <c r="L180" i="2" a="1"/>
  <c r="F180" i="2" a="1"/>
  <c r="E180" i="2" a="1"/>
  <c r="D180" i="2" a="1"/>
  <c r="M180" i="2" a="1"/>
  <c r="J180" i="2" a="1"/>
  <c r="I180" i="2" a="1"/>
  <c r="H180" i="2" a="1"/>
  <c r="G180" i="2" a="1"/>
  <c r="B182" i="2" l="1"/>
  <c r="Q181" i="2" a="1"/>
  <c r="M181" i="2" a="1"/>
  <c r="C181" i="2" a="1"/>
  <c r="L181" i="2" a="1"/>
  <c r="O181" i="2" a="1"/>
  <c r="P181" i="2" a="1"/>
  <c r="R181" i="2" a="1"/>
  <c r="N181" i="2" a="1"/>
  <c r="J181" i="2" a="1"/>
  <c r="I181" i="2" a="1"/>
  <c r="E181" i="2" a="1"/>
  <c r="G181" i="2" a="1"/>
  <c r="D181" i="2" a="1"/>
  <c r="K181" i="2" a="1"/>
  <c r="H181" i="2" a="1"/>
  <c r="F181" i="2" a="1"/>
  <c r="B183" i="2" l="1"/>
  <c r="Q182" i="2" a="1"/>
  <c r="C182" i="2" a="1"/>
  <c r="M182" i="2" a="1"/>
  <c r="G182" i="2" a="1"/>
  <c r="H182" i="2" a="1"/>
  <c r="L182" i="2" a="1"/>
  <c r="P182" i="2" a="1"/>
  <c r="O182" i="2" a="1"/>
  <c r="E182" i="2" a="1"/>
  <c r="J182" i="2" a="1"/>
  <c r="K182" i="2" a="1"/>
  <c r="R182" i="2" a="1"/>
  <c r="F182" i="2" a="1"/>
  <c r="N182" i="2" a="1"/>
  <c r="D182" i="2" a="1"/>
  <c r="I182" i="2" a="1"/>
  <c r="B184" i="2" l="1"/>
  <c r="D183" i="2" a="1"/>
  <c r="L183" i="2" a="1"/>
  <c r="K183" i="2" a="1"/>
  <c r="N183" i="2" a="1"/>
  <c r="P183" i="2" a="1"/>
  <c r="R183" i="2" a="1"/>
  <c r="C183" i="2" a="1"/>
  <c r="Q183" i="2" a="1"/>
  <c r="I183" i="2" a="1"/>
  <c r="G183" i="2" a="1"/>
  <c r="H183" i="2" a="1"/>
  <c r="F183" i="2" a="1"/>
  <c r="O183" i="2" a="1"/>
  <c r="M183" i="2" a="1"/>
  <c r="E183" i="2" a="1"/>
  <c r="J183" i="2" a="1"/>
  <c r="B185" i="2" l="1"/>
  <c r="M184" i="2" a="1"/>
  <c r="O184" i="2" a="1"/>
  <c r="E184" i="2" a="1"/>
  <c r="H184" i="2" a="1"/>
  <c r="P184" i="2" a="1"/>
  <c r="F184" i="2" a="1"/>
  <c r="J184" i="2" a="1"/>
  <c r="R184" i="2" a="1"/>
  <c r="C184" i="2" a="1"/>
  <c r="L184" i="2" a="1"/>
  <c r="K184" i="2" a="1"/>
  <c r="I184" i="2" a="1"/>
  <c r="Q184" i="2" a="1"/>
  <c r="D184" i="2" a="1"/>
  <c r="N184" i="2" a="1"/>
  <c r="G184" i="2" a="1"/>
  <c r="B186" i="2" l="1"/>
  <c r="D185" i="2" a="1"/>
  <c r="O185" i="2" a="1"/>
  <c r="C185" i="2" a="1"/>
  <c r="L185" i="2" a="1"/>
  <c r="I185" i="2" a="1"/>
  <c r="N185" i="2" a="1"/>
  <c r="G185" i="2" a="1"/>
  <c r="Q185" i="2" a="1"/>
  <c r="R185" i="2" a="1"/>
  <c r="E185" i="2" a="1"/>
  <c r="F185" i="2" a="1"/>
  <c r="K185" i="2" a="1"/>
  <c r="P185" i="2" a="1"/>
  <c r="J185" i="2" a="1"/>
  <c r="M185" i="2" a="1"/>
  <c r="H185" i="2" a="1"/>
  <c r="B187" i="2" l="1"/>
  <c r="L186" i="2" a="1"/>
  <c r="P186" i="2" a="1"/>
  <c r="D186" i="2" a="1"/>
  <c r="M186" i="2" a="1"/>
  <c r="J186" i="2" a="1"/>
  <c r="R186" i="2" a="1"/>
  <c r="Q186" i="2" a="1"/>
  <c r="I186" i="2" a="1"/>
  <c r="G186" i="2" a="1"/>
  <c r="F186" i="2" a="1"/>
  <c r="O186" i="2" a="1"/>
  <c r="N186" i="2" a="1"/>
  <c r="E186" i="2" a="1"/>
  <c r="H186" i="2" a="1"/>
  <c r="C186" i="2" a="1"/>
  <c r="K186" i="2" a="1"/>
  <c r="B188" i="2" l="1"/>
  <c r="L187" i="2" a="1"/>
  <c r="H187" i="2" a="1"/>
  <c r="J187" i="2" a="1"/>
  <c r="F187" i="2" a="1"/>
  <c r="R187" i="2" a="1"/>
  <c r="K187" i="2" a="1"/>
  <c r="O187" i="2" a="1"/>
  <c r="E187" i="2" a="1"/>
  <c r="D187" i="2" a="1"/>
  <c r="P187" i="2" a="1"/>
  <c r="C187" i="2" a="1"/>
  <c r="M187" i="2" a="1"/>
  <c r="G187" i="2" a="1"/>
  <c r="I187" i="2" a="1"/>
  <c r="Q187" i="2" a="1"/>
  <c r="N187" i="2" a="1"/>
  <c r="B189" i="2" l="1"/>
  <c r="L188" i="2" a="1"/>
  <c r="Q188" i="2" a="1"/>
  <c r="F188" i="2" a="1"/>
  <c r="J188" i="2" a="1"/>
  <c r="H188" i="2" a="1"/>
  <c r="E188" i="2" a="1"/>
  <c r="N188" i="2" a="1"/>
  <c r="M188" i="2" a="1"/>
  <c r="G188" i="2" a="1"/>
  <c r="R188" i="2" a="1"/>
  <c r="D188" i="2" a="1"/>
  <c r="O188" i="2" a="1"/>
  <c r="I188" i="2" a="1"/>
  <c r="K188" i="2" a="1"/>
  <c r="P188" i="2" a="1"/>
  <c r="C188" i="2" a="1"/>
  <c r="B190" i="2" l="1"/>
  <c r="G189" i="2" a="1"/>
  <c r="K189" i="2" a="1"/>
  <c r="J189" i="2" a="1"/>
  <c r="H189" i="2" a="1"/>
  <c r="I189" i="2" a="1"/>
  <c r="R189" i="2" a="1"/>
  <c r="P189" i="2" a="1"/>
  <c r="C189" i="2" a="1"/>
  <c r="Q189" i="2" a="1"/>
  <c r="F189" i="2" a="1"/>
  <c r="D189" i="2" a="1"/>
  <c r="M189" i="2" a="1"/>
  <c r="L189" i="2" a="1"/>
  <c r="O189" i="2" a="1"/>
  <c r="E189" i="2" a="1"/>
  <c r="N189" i="2" a="1"/>
  <c r="B191" i="2" l="1"/>
  <c r="D190" i="2" a="1"/>
  <c r="G190" i="2" a="1"/>
  <c r="J190" i="2" a="1"/>
  <c r="R190" i="2" a="1"/>
  <c r="P190" i="2" a="1"/>
  <c r="F190" i="2" a="1"/>
  <c r="N190" i="2" a="1"/>
  <c r="O190" i="2" a="1"/>
  <c r="L190" i="2" a="1"/>
  <c r="M190" i="2" a="1"/>
  <c r="E190" i="2" a="1"/>
  <c r="H190" i="2" a="1"/>
  <c r="Q190" i="2" a="1"/>
  <c r="K190" i="2" a="1"/>
  <c r="C190" i="2" a="1"/>
  <c r="I190" i="2" a="1"/>
  <c r="B192" i="2" l="1"/>
  <c r="Q191" i="2" a="1"/>
  <c r="F191" i="2" a="1"/>
  <c r="K191" i="2" a="1"/>
  <c r="O191" i="2" a="1"/>
  <c r="M191" i="2" a="1"/>
  <c r="N191" i="2" a="1"/>
  <c r="G191" i="2" a="1"/>
  <c r="D191" i="2" a="1"/>
  <c r="P191" i="2" a="1"/>
  <c r="I191" i="2" a="1"/>
  <c r="L191" i="2" a="1"/>
  <c r="C191" i="2" a="1"/>
  <c r="E191" i="2" a="1"/>
  <c r="R191" i="2" a="1"/>
  <c r="J191" i="2" a="1"/>
  <c r="H191" i="2" a="1"/>
  <c r="B193" i="2" l="1"/>
  <c r="Q192" i="2" a="1"/>
  <c r="O192" i="2" a="1"/>
  <c r="J192" i="2" a="1"/>
  <c r="D192" i="2" a="1"/>
  <c r="N192" i="2" a="1"/>
  <c r="I192" i="2" a="1"/>
  <c r="M192" i="2" a="1"/>
  <c r="P192" i="2" a="1"/>
  <c r="K192" i="2" a="1"/>
  <c r="F192" i="2" a="1"/>
  <c r="C192" i="2" a="1"/>
  <c r="H192" i="2" a="1"/>
  <c r="E192" i="2" a="1"/>
  <c r="R192" i="2" a="1"/>
  <c r="L192" i="2" a="1"/>
  <c r="G192" i="2" a="1"/>
  <c r="B194" i="2" l="1"/>
  <c r="Q193" i="2" a="1"/>
  <c r="N193" i="2" a="1"/>
  <c r="J193" i="2" a="1"/>
  <c r="G193" i="2" a="1"/>
  <c r="M193" i="2" a="1"/>
  <c r="P193" i="2" a="1"/>
  <c r="R193" i="2" a="1"/>
  <c r="C193" i="2" a="1"/>
  <c r="E193" i="2" a="1"/>
  <c r="O193" i="2" a="1"/>
  <c r="H193" i="2" a="1"/>
  <c r="I193" i="2" a="1"/>
  <c r="F193" i="2" a="1"/>
  <c r="D193" i="2" a="1"/>
  <c r="K193" i="2" a="1"/>
  <c r="L193" i="2" a="1"/>
  <c r="B195" i="2" l="1"/>
  <c r="N194" i="2" a="1"/>
  <c r="Q194" i="2" a="1"/>
  <c r="I194" i="2" a="1"/>
  <c r="G194" i="2" a="1"/>
  <c r="C194" i="2" a="1"/>
  <c r="J194" i="2" a="1"/>
  <c r="L194" i="2" a="1"/>
  <c r="R194" i="2" a="1"/>
  <c r="F194" i="2" a="1"/>
  <c r="K194" i="2" a="1"/>
  <c r="O194" i="2" a="1"/>
  <c r="E194" i="2" a="1"/>
  <c r="P194" i="2" a="1"/>
  <c r="D194" i="2" a="1"/>
  <c r="H194" i="2" a="1"/>
  <c r="M194" i="2" a="1"/>
  <c r="B196" i="2" l="1"/>
  <c r="C195" i="2" a="1"/>
  <c r="K195" i="2" a="1"/>
  <c r="P195" i="2" a="1"/>
  <c r="G195" i="2" a="1"/>
  <c r="F195" i="2" a="1"/>
  <c r="M195" i="2" a="1"/>
  <c r="O195" i="2" a="1"/>
  <c r="J195" i="2" a="1"/>
  <c r="R195" i="2" a="1"/>
  <c r="H195" i="2" a="1"/>
  <c r="E195" i="2" a="1"/>
  <c r="Q195" i="2" a="1"/>
  <c r="N195" i="2" a="1"/>
  <c r="L195" i="2" a="1"/>
  <c r="I195" i="2" a="1"/>
  <c r="D195" i="2" a="1"/>
  <c r="B197" i="2" l="1"/>
  <c r="O196" i="2" a="1"/>
  <c r="L196" i="2" a="1"/>
  <c r="N196" i="2" a="1"/>
  <c r="J196" i="2" a="1"/>
  <c r="Q196" i="2" a="1"/>
  <c r="K196" i="2" a="1"/>
  <c r="C196" i="2" a="1"/>
  <c r="G196" i="2" a="1"/>
  <c r="M196" i="2" a="1"/>
  <c r="I196" i="2" a="1"/>
  <c r="F196" i="2" a="1"/>
  <c r="H196" i="2" a="1"/>
  <c r="R196" i="2" a="1"/>
  <c r="D196" i="2" a="1"/>
  <c r="P196" i="2" a="1"/>
  <c r="E196" i="2" a="1"/>
  <c r="B198" i="2" l="1"/>
  <c r="M197" i="2" a="1"/>
  <c r="C197" i="2" a="1"/>
  <c r="Q197" i="2" a="1"/>
  <c r="D197" i="2" a="1"/>
  <c r="F197" i="2" a="1"/>
  <c r="R197" i="2" a="1"/>
  <c r="G197" i="2" a="1"/>
  <c r="L197" i="2" a="1"/>
  <c r="I197" i="2" a="1"/>
  <c r="H197" i="2" a="1"/>
  <c r="E197" i="2" a="1"/>
  <c r="K197" i="2" a="1"/>
  <c r="O197" i="2" a="1"/>
  <c r="J197" i="2" a="1"/>
  <c r="N197" i="2" a="1"/>
  <c r="P197" i="2" a="1"/>
  <c r="B199" i="2" l="1"/>
  <c r="H198" i="2" a="1"/>
  <c r="I198" i="2" a="1"/>
  <c r="K198" i="2" a="1"/>
  <c r="E198" i="2" a="1"/>
  <c r="N198" i="2" a="1"/>
  <c r="O198" i="2" a="1"/>
  <c r="C198" i="2" a="1"/>
  <c r="R198" i="2" a="1"/>
  <c r="L198" i="2" a="1"/>
  <c r="M198" i="2" a="1"/>
  <c r="Q198" i="2" a="1"/>
  <c r="F198" i="2" a="1"/>
  <c r="D198" i="2" a="1"/>
  <c r="J198" i="2" a="1"/>
  <c r="P198" i="2" a="1"/>
  <c r="G198" i="2" a="1"/>
  <c r="B200" i="2" l="1"/>
  <c r="P199" i="2" a="1"/>
  <c r="Q199" i="2" a="1"/>
  <c r="M199" i="2" a="1"/>
  <c r="F199" i="2" a="1"/>
  <c r="R199" i="2" a="1"/>
  <c r="J199" i="2" a="1"/>
  <c r="H199" i="2" a="1"/>
  <c r="E199" i="2" a="1"/>
  <c r="K199" i="2" a="1"/>
  <c r="C199" i="2" a="1"/>
  <c r="O199" i="2" a="1"/>
  <c r="N199" i="2" a="1"/>
  <c r="G199" i="2" a="1"/>
  <c r="I199" i="2" a="1"/>
  <c r="D199" i="2" a="1"/>
  <c r="L199" i="2" a="1"/>
  <c r="B201" i="2" l="1"/>
  <c r="J200" i="2" a="1"/>
  <c r="K200" i="2" a="1"/>
  <c r="G200" i="2" a="1"/>
  <c r="P200" i="2" a="1"/>
  <c r="L200" i="2" a="1"/>
  <c r="D200" i="2" a="1"/>
  <c r="O200" i="2" a="1"/>
  <c r="I200" i="2" a="1"/>
  <c r="R200" i="2" a="1"/>
  <c r="F200" i="2" a="1"/>
  <c r="Q200" i="2" a="1"/>
  <c r="H200" i="2" a="1"/>
  <c r="E200" i="2" a="1"/>
  <c r="N200" i="2" a="1"/>
  <c r="C200" i="2" a="1"/>
  <c r="M200" i="2" a="1"/>
  <c r="B202" i="2" l="1"/>
  <c r="Q201" i="2" a="1"/>
  <c r="L201" i="2" a="1"/>
  <c r="N201" i="2" a="1"/>
  <c r="E201" i="2" a="1"/>
  <c r="I201" i="2" a="1"/>
  <c r="J201" i="2" a="1"/>
  <c r="M201" i="2" a="1"/>
  <c r="R201" i="2" a="1"/>
  <c r="F201" i="2" a="1"/>
  <c r="P201" i="2" a="1"/>
  <c r="G201" i="2" a="1"/>
  <c r="K201" i="2" a="1"/>
  <c r="D201" i="2" a="1"/>
  <c r="H201" i="2" a="1"/>
  <c r="O201" i="2" a="1"/>
  <c r="C201" i="2" a="1"/>
  <c r="B203" i="2" l="1"/>
  <c r="F202" i="2" a="1"/>
  <c r="J202" i="2" a="1"/>
  <c r="Q202" i="2" a="1"/>
  <c r="M202" i="2" a="1"/>
  <c r="H202" i="2" a="1"/>
  <c r="N202" i="2" a="1"/>
  <c r="C202" i="2" a="1"/>
  <c r="K202" i="2" a="1"/>
  <c r="R202" i="2" a="1"/>
  <c r="D202" i="2" a="1"/>
  <c r="O202" i="2" a="1"/>
  <c r="I202" i="2" a="1"/>
  <c r="G202" i="2" a="1"/>
  <c r="L202" i="2" a="1"/>
  <c r="P202" i="2" a="1"/>
  <c r="E202" i="2" a="1"/>
  <c r="B204" i="2" l="1"/>
  <c r="O203" i="2" a="1"/>
  <c r="N203" i="2" a="1"/>
  <c r="I203" i="2" a="1"/>
  <c r="J203" i="2" a="1"/>
  <c r="C203" i="2" a="1"/>
  <c r="F203" i="2" a="1"/>
  <c r="G203" i="2" a="1"/>
  <c r="P203" i="2" a="1"/>
  <c r="R203" i="2" a="1"/>
  <c r="E203" i="2" a="1"/>
  <c r="D203" i="2" a="1"/>
  <c r="H203" i="2" a="1"/>
  <c r="M203" i="2" a="1"/>
  <c r="L203" i="2" a="1"/>
  <c r="Q203" i="2" a="1"/>
  <c r="K203" i="2" a="1"/>
  <c r="B205" i="2" l="1"/>
  <c r="M204" i="2" a="1"/>
  <c r="H204" i="2" a="1"/>
  <c r="Q204" i="2" a="1"/>
  <c r="K204" i="2" a="1"/>
  <c r="N204" i="2" a="1"/>
  <c r="G204" i="2" a="1"/>
  <c r="O204" i="2" a="1"/>
  <c r="E204" i="2" a="1"/>
  <c r="D204" i="2" a="1"/>
  <c r="C204" i="2" a="1"/>
  <c r="F204" i="2" a="1"/>
  <c r="L204" i="2" a="1"/>
  <c r="P204" i="2" a="1"/>
  <c r="J204" i="2" a="1"/>
  <c r="I204" i="2" a="1"/>
  <c r="R204" i="2" a="1"/>
  <c r="B206" i="2" l="1"/>
  <c r="H205" i="2" a="1"/>
  <c r="J205" i="2" a="1"/>
  <c r="C205" i="2" a="1"/>
  <c r="M205" i="2" a="1"/>
  <c r="N205" i="2" a="1"/>
  <c r="G205" i="2" a="1"/>
  <c r="E205" i="2" a="1"/>
  <c r="L205" i="2" a="1"/>
  <c r="O205" i="2" a="1"/>
  <c r="P205" i="2" a="1"/>
  <c r="I205" i="2" a="1"/>
  <c r="R205" i="2" a="1"/>
  <c r="K205" i="2" a="1"/>
  <c r="F205" i="2" a="1"/>
  <c r="D205" i="2" a="1"/>
  <c r="Q205" i="2" a="1"/>
  <c r="B207" i="2" l="1"/>
  <c r="O206" i="2" a="1"/>
  <c r="C206" i="2" a="1"/>
  <c r="R206" i="2" a="1"/>
  <c r="H206" i="2" a="1"/>
  <c r="D206" i="2" a="1"/>
  <c r="E206" i="2" a="1"/>
  <c r="F206" i="2" a="1"/>
  <c r="K206" i="2" a="1"/>
  <c r="P206" i="2" a="1"/>
  <c r="M206" i="2" a="1"/>
  <c r="I206" i="2" a="1"/>
  <c r="N206" i="2" a="1"/>
  <c r="J206" i="2" a="1"/>
  <c r="G206" i="2" a="1"/>
  <c r="L206" i="2" a="1"/>
  <c r="Q206" i="2" a="1"/>
  <c r="B208" i="2" l="1"/>
  <c r="R207" i="2" a="1"/>
  <c r="F207" i="2" a="1"/>
  <c r="J207" i="2" a="1"/>
  <c r="E207" i="2" a="1"/>
  <c r="H207" i="2" a="1"/>
  <c r="K207" i="2" a="1"/>
  <c r="G207" i="2" a="1"/>
  <c r="Q207" i="2" a="1"/>
  <c r="P207" i="2" a="1"/>
  <c r="L207" i="2" a="1"/>
  <c r="I207" i="2" a="1"/>
  <c r="M207" i="2" a="1"/>
  <c r="N207" i="2" a="1"/>
  <c r="O207" i="2" a="1"/>
  <c r="D207" i="2" a="1"/>
  <c r="C207" i="2" a="1"/>
  <c r="B209" i="2" l="1"/>
  <c r="P208" i="2" a="1"/>
  <c r="F208" i="2" a="1"/>
  <c r="M208" i="2" a="1"/>
  <c r="D208" i="2" a="1"/>
  <c r="C208" i="2" a="1"/>
  <c r="I208" i="2" a="1"/>
  <c r="R208" i="2" a="1"/>
  <c r="O208" i="2" a="1"/>
  <c r="E208" i="2" a="1"/>
  <c r="Q208" i="2" a="1"/>
  <c r="J208" i="2" a="1"/>
  <c r="H208" i="2" a="1"/>
  <c r="N208" i="2" a="1"/>
  <c r="L208" i="2" a="1"/>
  <c r="K208" i="2" a="1"/>
  <c r="G208" i="2" a="1"/>
  <c r="B210" i="2" l="1"/>
  <c r="R209" i="2" a="1"/>
  <c r="J209" i="2" a="1"/>
  <c r="P209" i="2" a="1"/>
  <c r="K209" i="2" a="1"/>
  <c r="O209" i="2" a="1"/>
  <c r="F209" i="2" a="1"/>
  <c r="L209" i="2" a="1"/>
  <c r="N209" i="2" a="1"/>
  <c r="G209" i="2" a="1"/>
  <c r="D209" i="2" a="1"/>
  <c r="M209" i="2" a="1"/>
  <c r="I209" i="2" a="1"/>
  <c r="E209" i="2" a="1"/>
  <c r="Q209" i="2" a="1"/>
  <c r="H209" i="2" a="1"/>
  <c r="C209" i="2" a="1"/>
  <c r="B211" i="2" l="1"/>
  <c r="O210" i="2" a="1"/>
  <c r="M210" i="2" a="1"/>
  <c r="L210" i="2" a="1"/>
  <c r="P210" i="2" a="1"/>
  <c r="F210" i="2" a="1"/>
  <c r="K210" i="2" a="1"/>
  <c r="H210" i="2" a="1"/>
  <c r="J210" i="2" a="1"/>
  <c r="D210" i="2" a="1"/>
  <c r="E210" i="2" a="1"/>
  <c r="R210" i="2" a="1"/>
  <c r="N210" i="2" a="1"/>
  <c r="G210" i="2" a="1"/>
  <c r="C210" i="2" a="1"/>
  <c r="Q210" i="2" a="1"/>
  <c r="I210" i="2" a="1"/>
  <c r="B212" i="2" l="1"/>
  <c r="P211" i="2" a="1"/>
  <c r="J211" i="2" a="1"/>
  <c r="D211" i="2" a="1"/>
  <c r="C211" i="2" a="1"/>
  <c r="L211" i="2" a="1"/>
  <c r="O211" i="2" a="1"/>
  <c r="G211" i="2" a="1"/>
  <c r="K211" i="2" a="1"/>
  <c r="F211" i="2" a="1"/>
  <c r="H211" i="2" a="1"/>
  <c r="N211" i="2" a="1"/>
  <c r="I211" i="2" a="1"/>
  <c r="E211" i="2" a="1"/>
  <c r="R211" i="2" a="1"/>
  <c r="M211" i="2" a="1"/>
  <c r="Q211" i="2" a="1"/>
  <c r="B213" i="2" l="1"/>
  <c r="H212" i="2" a="1"/>
  <c r="M212" i="2" a="1"/>
  <c r="C212" i="2" a="1"/>
  <c r="N212" i="2" a="1"/>
  <c r="D212" i="2" a="1"/>
  <c r="G212" i="2" a="1"/>
  <c r="I212" i="2" a="1"/>
  <c r="O212" i="2" a="1"/>
  <c r="K212" i="2" a="1"/>
  <c r="E212" i="2" a="1"/>
  <c r="P212" i="2" a="1"/>
  <c r="R212" i="2" a="1"/>
  <c r="Q212" i="2" a="1"/>
  <c r="L212" i="2" a="1"/>
  <c r="J212" i="2" a="1"/>
  <c r="F212" i="2" a="1"/>
  <c r="B214" i="2" l="1"/>
  <c r="P213" i="2" a="1"/>
  <c r="E213" i="2" a="1"/>
  <c r="Q213" i="2" a="1"/>
  <c r="C213" i="2" a="1"/>
  <c r="H213" i="2" a="1"/>
  <c r="I213" i="2" a="1"/>
  <c r="O213" i="2" a="1"/>
  <c r="G213" i="2" a="1"/>
  <c r="M213" i="2" a="1"/>
  <c r="L213" i="2" a="1"/>
  <c r="J213" i="2" a="1"/>
  <c r="F213" i="2" a="1"/>
  <c r="D213" i="2" a="1"/>
  <c r="N213" i="2" a="1"/>
  <c r="R213" i="2" a="1"/>
  <c r="K213" i="2" a="1"/>
  <c r="B215" i="2" l="1"/>
  <c r="F214" i="2" a="1"/>
  <c r="P214" i="2" a="1"/>
  <c r="H214" i="2" a="1"/>
  <c r="E214" i="2" a="1"/>
  <c r="I214" i="2" a="1"/>
  <c r="D214" i="2" a="1"/>
  <c r="M214" i="2" a="1"/>
  <c r="R214" i="2" a="1"/>
  <c r="L214" i="2" a="1"/>
  <c r="Q214" i="2" a="1"/>
  <c r="N214" i="2" a="1"/>
  <c r="G214" i="2" a="1"/>
  <c r="K214" i="2" a="1"/>
  <c r="O214" i="2" a="1"/>
  <c r="J214" i="2" a="1"/>
  <c r="C214" i="2" a="1"/>
  <c r="B216" i="2" l="1"/>
  <c r="J215" i="2" a="1"/>
  <c r="E215" i="2" a="1"/>
  <c r="F215" i="2" a="1"/>
  <c r="K215" i="2" a="1"/>
  <c r="L215" i="2" a="1"/>
  <c r="O215" i="2" a="1"/>
  <c r="N215" i="2" a="1"/>
  <c r="R215" i="2" a="1"/>
  <c r="P215" i="2" a="1"/>
  <c r="I215" i="2" a="1"/>
  <c r="D215" i="2" a="1"/>
  <c r="M215" i="2" a="1"/>
  <c r="Q215" i="2" a="1"/>
  <c r="C215" i="2" a="1"/>
  <c r="H215" i="2" a="1"/>
  <c r="G215" i="2" a="1"/>
  <c r="D216" i="2" l="1" a="1"/>
  <c r="G216" i="2" a="1"/>
  <c r="P216" i="2" a="1"/>
  <c r="I216" i="2" a="1"/>
  <c r="M216" i="2" a="1"/>
  <c r="L216" i="2" a="1"/>
  <c r="Q216" i="2" a="1"/>
  <c r="O216" i="2" a="1"/>
  <c r="C216" i="2" a="1"/>
  <c r="N216" i="2" a="1"/>
  <c r="R216" i="2" a="1"/>
  <c r="H216" i="2" a="1"/>
  <c r="E216" i="2" a="1"/>
  <c r="J216" i="2" a="1"/>
  <c r="F216" i="2" a="1"/>
  <c r="K216" i="2" a="1"/>
  <c r="B217" i="2"/>
  <c r="O217" i="2" l="1" a="1"/>
  <c r="J217" i="2" a="1"/>
  <c r="P217" i="2" a="1"/>
  <c r="G217" i="2" a="1"/>
  <c r="M217" i="2" a="1"/>
  <c r="D217" i="2" a="1"/>
  <c r="C217" i="2" a="1"/>
  <c r="Q217" i="2" a="1"/>
  <c r="I217" i="2" a="1"/>
  <c r="R217" i="2" a="1"/>
  <c r="K217" i="2" a="1"/>
  <c r="L217" i="2" a="1"/>
  <c r="N217" i="2" a="1"/>
  <c r="H217" i="2" a="1"/>
  <c r="F217" i="2" a="1"/>
  <c r="E217" i="2" a="1"/>
  <c r="B218" i="2"/>
  <c r="B219" i="2" l="1"/>
  <c r="N218" i="2" a="1"/>
  <c r="O218" i="2" a="1"/>
  <c r="K218" i="2" a="1"/>
  <c r="E218" i="2" a="1"/>
  <c r="F218" i="2" a="1"/>
  <c r="C218" i="2" a="1"/>
  <c r="M218" i="2" a="1"/>
  <c r="I218" i="2" a="1"/>
  <c r="L218" i="2" a="1"/>
  <c r="Q218" i="2" a="1"/>
  <c r="R218" i="2" a="1"/>
  <c r="H218" i="2" a="1"/>
  <c r="D218" i="2" a="1"/>
  <c r="P218" i="2" a="1"/>
  <c r="J218" i="2" a="1"/>
  <c r="G218" i="2" a="1"/>
  <c r="B220" i="2" l="1"/>
  <c r="E219" i="2" a="1"/>
  <c r="F219" i="2" a="1"/>
  <c r="Q219" i="2" a="1"/>
  <c r="J219" i="2" a="1"/>
  <c r="O219" i="2" a="1"/>
  <c r="G219" i="2" a="1"/>
  <c r="K219" i="2" a="1"/>
  <c r="D219" i="2" a="1"/>
  <c r="N219" i="2" a="1"/>
  <c r="R219" i="2" a="1"/>
  <c r="C219" i="2" a="1"/>
  <c r="L219" i="2" a="1"/>
  <c r="I219" i="2" a="1"/>
  <c r="M219" i="2" a="1"/>
  <c r="P219" i="2" a="1"/>
  <c r="H219" i="2" a="1"/>
  <c r="G220" i="2" l="1" a="1"/>
  <c r="L220" i="2" a="1"/>
  <c r="H220" i="2" a="1"/>
  <c r="I220" i="2" a="1"/>
  <c r="O220" i="2" a="1"/>
  <c r="D220" i="2" a="1"/>
  <c r="M220" i="2" a="1"/>
  <c r="J220" i="2" a="1"/>
  <c r="Q220" i="2" a="1"/>
  <c r="E220" i="2" a="1"/>
  <c r="C220" i="2" a="1"/>
  <c r="K220" i="2" a="1"/>
  <c r="F220" i="2" a="1"/>
  <c r="N220" i="2" a="1"/>
  <c r="P220" i="2" a="1"/>
  <c r="R220" i="2" a="1"/>
  <c r="G8" i="2"/>
  <c r="H8" i="2"/>
  <c r="D8" i="2"/>
  <c r="E8" i="2"/>
  <c r="F8" i="2"/>
  <c r="C8" i="2"/>
  <c r="C9" i="2" a="1"/>
  <c r="I8" i="2"/>
  <c r="I9" i="2" a="1"/>
  <c r="K8" i="2"/>
  <c r="J8" i="2"/>
  <c r="J9" i="2" a="1"/>
  <c r="J10" i="2" s="1"/>
  <c r="J11" i="2" s="1"/>
  <c r="J13" i="2" s="1"/>
  <c r="K9" i="2" a="1"/>
  <c r="K10" i="2" s="1"/>
  <c r="K11" i="2" s="1"/>
  <c r="K13" i="2" s="1"/>
  <c r="C10" i="2" l="1"/>
  <c r="C11" i="2" s="1"/>
  <c r="G9" i="2" a="1"/>
  <c r="G10" i="2" s="1"/>
  <c r="G11" i="2" s="1"/>
  <c r="G13" i="2" s="1"/>
  <c r="H9" i="2" a="1"/>
  <c r="H10" i="2" s="1"/>
  <c r="H11" i="2" s="1"/>
  <c r="H13" i="2" s="1"/>
  <c r="D9" i="2" a="1"/>
  <c r="D10" i="2" s="1"/>
  <c r="D11" i="2" s="1"/>
  <c r="D13" i="2" s="1"/>
  <c r="E9" i="2" a="1"/>
  <c r="E10" i="2" s="1"/>
  <c r="E11" i="2" s="1"/>
  <c r="E13" i="2" s="1"/>
  <c r="F9" i="2" a="1"/>
  <c r="F10" i="2" s="1"/>
  <c r="F11" i="2" s="1"/>
  <c r="F13" i="2" s="1"/>
  <c r="J12" i="2"/>
  <c r="K12" i="2"/>
  <c r="I10" i="2"/>
  <c r="I11" i="2" s="1"/>
  <c r="I13" i="2" s="1"/>
  <c r="C13" i="2" l="1"/>
  <c r="C12" i="2"/>
  <c r="G12" i="2"/>
  <c r="H12" i="2"/>
  <c r="D12" i="2"/>
  <c r="E12" i="2"/>
  <c r="F12" i="2"/>
  <c r="I12" i="2"/>
  <c r="B23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<sst xmlns="http://schemas.openxmlformats.org/spreadsheetml/2006/main" count="53" uniqueCount="43">
  <si>
    <t>P[psia]</t>
  </si>
  <si>
    <t>T[°R]</t>
  </si>
  <si>
    <t>S.G. gas=</t>
  </si>
  <si>
    <t>P[psig]=</t>
  </si>
  <si>
    <t>Scenario 1</t>
  </si>
  <si>
    <t>Scenario 2</t>
  </si>
  <si>
    <t>Scenario 3</t>
  </si>
  <si>
    <t>T[°F]=</t>
  </si>
  <si>
    <t>Scenario 4</t>
  </si>
  <si>
    <t>Scenario 5</t>
  </si>
  <si>
    <t>Scenario 6</t>
  </si>
  <si>
    <t>Scenario 7</t>
  </si>
  <si>
    <t>Scenario 8</t>
  </si>
  <si>
    <t>Scenario 9</t>
  </si>
  <si>
    <t>Scenario 10</t>
  </si>
  <si>
    <t>Area[ft^2]=</t>
  </si>
  <si>
    <r>
      <t>q</t>
    </r>
    <r>
      <rPr>
        <vertAlign val="subscript"/>
        <sz val="12"/>
        <color theme="1"/>
        <rFont val="Cascadia Code"/>
        <family val="3"/>
      </rPr>
      <t>g</t>
    </r>
    <r>
      <rPr>
        <sz val="12"/>
        <color theme="1"/>
        <rFont val="Cascadia Code"/>
        <family val="2"/>
      </rPr>
      <t>[Mscf/D]</t>
    </r>
  </si>
  <si>
    <r>
      <t>q</t>
    </r>
    <r>
      <rPr>
        <vertAlign val="subscript"/>
        <sz val="12"/>
        <color theme="1"/>
        <rFont val="Cascadia Code"/>
        <family val="3"/>
      </rPr>
      <t>g</t>
    </r>
    <r>
      <rPr>
        <sz val="12"/>
        <color theme="1"/>
        <rFont val="Cascadia Code"/>
        <family val="2"/>
      </rPr>
      <t>[scf/min]</t>
    </r>
  </si>
  <si>
    <t>k</t>
  </si>
  <si>
    <t>Pipe Diameter[in]</t>
  </si>
  <si>
    <t>S.G.</t>
  </si>
  <si>
    <t>KatzPpc</t>
  </si>
  <si>
    <t>StandPpc</t>
  </si>
  <si>
    <t>KatzTpc</t>
  </si>
  <si>
    <t>StandTpc</t>
  </si>
  <si>
    <t>PR\TR</t>
  </si>
  <si>
    <t>ZKatz</t>
  </si>
  <si>
    <t>SuttonPpc</t>
  </si>
  <si>
    <t>SuttonTpc</t>
  </si>
  <si>
    <r>
      <t>ν</t>
    </r>
    <r>
      <rPr>
        <vertAlign val="subscript"/>
        <sz val="12"/>
        <color theme="1"/>
        <rFont val="Cascadia Code"/>
        <family val="3"/>
      </rPr>
      <t>g</t>
    </r>
    <r>
      <rPr>
        <sz val="12"/>
        <color theme="1"/>
        <rFont val="Cascadia Code"/>
        <family val="3"/>
      </rPr>
      <t>(water)</t>
    </r>
    <r>
      <rPr>
        <sz val="12"/>
        <color theme="1"/>
        <rFont val="Cascadia Code"/>
        <family val="2"/>
      </rPr>
      <t>[ft]</t>
    </r>
  </si>
  <si>
    <t>γ gas=</t>
  </si>
  <si>
    <t>Scenario</t>
  </si>
  <si>
    <t>Wellhead</t>
  </si>
  <si>
    <t>Bottomhole</t>
  </si>
  <si>
    <t>Pipe Diameter[in]=</t>
  </si>
  <si>
    <t>Avg</t>
  </si>
  <si>
    <t>P[psia]=</t>
  </si>
  <si>
    <t>T[°R]=</t>
  </si>
  <si>
    <t>Z=</t>
  </si>
  <si>
    <t>MD[ft]=</t>
  </si>
  <si>
    <t>Static P[psia]=</t>
  </si>
  <si>
    <t>Pi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</si>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</sst>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"/>
  </numFmts>
  <fonts count="7" x14ac:knownFonts="1">
    <font>
      <sz val="12"/>
      <color theme="1"/>
      <name val="Cascadia Code"/>
      <family val="2"/>
    </font>
    <font>
      <vertAlign val="subscript"/>
      <sz val="12"/>
      <color theme="1"/>
      <name val="Cascadia Code"/>
      <family val="3"/>
    </font>
    <font>
      <sz val="12"/>
      <color theme="1"/>
      <name val="Cascadia Code"/>
      <family val="3"/>
    </font>
    <font>
      <sz val="10"/>
      <name val="Arial"/>
      <family val="2"/>
    </font>
    <font>
      <sz val="8"/>
      <name val="Cascadia Code"/>
      <family val="2"/>
    </font>
    <font>
      <u/>
      <sz val="12"/>
      <color theme="1"/>
      <name val="Cascadia Code"/>
      <family val="2"/>
    </font>
    <font>
      <b/>
      <sz val="12"/>
      <color theme="1"/>
      <name val="Cascadia Code"/>
      <family val="3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wrapText="1"/>
    </xf>
    <xf numFmtId="164" fontId="5" fillId="0" borderId="0" xfId="0" applyNumberFormat="1" applyFont="1" applyProtection="1">
      <protection locked="0"/>
    </xf>
    <xf numFmtId="2" fontId="5" fillId="0" borderId="0" xfId="0" applyNumberFormat="1" applyFont="1" applyProtection="1">
      <protection locked="0"/>
    </xf>
    <xf numFmtId="165" fontId="0" fillId="0" borderId="0" xfId="0" applyNumberFormat="1"/>
    <xf numFmtId="166" fontId="0" fillId="0" borderId="0" xfId="0" applyNumberFormat="1"/>
    <xf numFmtId="3" fontId="0" fillId="0" borderId="0" xfId="0" applyNumberFormat="1"/>
    <xf numFmtId="0" fontId="0" fillId="0" borderId="1" xfId="0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0" fontId="0" fillId="0" borderId="4" xfId="0" applyBorder="1" applyAlignment="1">
      <alignment horizontal="right"/>
    </xf>
    <xf numFmtId="164" fontId="0" fillId="0" borderId="5" xfId="0" applyNumberFormat="1" applyBorder="1"/>
    <xf numFmtId="164" fontId="0" fillId="0" borderId="6" xfId="0" applyNumberFormat="1" applyBorder="1"/>
    <xf numFmtId="167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4" fontId="0" fillId="0" borderId="0" xfId="0" applyNumberFormat="1"/>
    <xf numFmtId="164" fontId="0" fillId="0" borderId="0" xfId="0" applyNumberFormat="1"/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Minimum Flow Rate, 2" Pipe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noFill/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Validation!$B$7:$K$7</c:f>
              <c:numCache>
                <c:formatCode>0.000</c:formatCode>
                <c:ptCount val="10"/>
                <c:pt idx="0">
                  <c:v>34.700000000000003</c:v>
                </c:pt>
                <c:pt idx="1">
                  <c:v>44.7</c:v>
                </c:pt>
                <c:pt idx="2">
                  <c:v>54.7</c:v>
                </c:pt>
                <c:pt idx="3">
                  <c:v>64.7</c:v>
                </c:pt>
                <c:pt idx="4">
                  <c:v>74.7</c:v>
                </c:pt>
                <c:pt idx="5">
                  <c:v>84.7</c:v>
                </c:pt>
                <c:pt idx="6">
                  <c:v>94.7</c:v>
                </c:pt>
                <c:pt idx="7">
                  <c:v>104.7</c:v>
                </c:pt>
                <c:pt idx="8">
                  <c:v>114.7</c:v>
                </c:pt>
                <c:pt idx="9">
                  <c:v>124.7</c:v>
                </c:pt>
              </c:numCache>
            </c:numRef>
          </c:xVal>
          <c:yVal>
            <c:numRef>
              <c:f>Validation!$B$12:$K$12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95-4B1B-AA3D-D464CA5B5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26047"/>
        <c:axId val="251827007"/>
      </c:scatterChart>
      <c:valAx>
        <c:axId val="251826047"/>
        <c:scaling>
          <c:orientation val="minMax"/>
          <c:max val="80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Pressure[psia]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27007"/>
        <c:crosses val="autoZero"/>
        <c:crossBetween val="midCat"/>
      </c:valAx>
      <c:valAx>
        <c:axId val="251827007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strRef>
              <c:f>Validation!$A$12</c:f>
              <c:strCache>
                <c:ptCount val="1"/>
                <c:pt idx="0">
                  <c:v>qg[Mscf/D]</c:v>
                </c:pt>
              </c:strCache>
            </c:strRef>
          </c:tx>
          <c:layout>
            <c:manualLayout>
              <c:xMode val="edge"/>
              <c:yMode val="edge"/>
              <c:x val="1.4505161901026291E-2"/>
              <c:y val="0.411626935022996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260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Validation!$C$51</c:f>
              <c:strCache>
                <c:ptCount val="1"/>
                <c:pt idx="0">
                  <c:v>KatzTpc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Validation!$B$52:$B$57</c:f>
              <c:numCache>
                <c:formatCode>0.00</c:formatCode>
                <c:ptCount val="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0.89999999999999991</c:v>
                </c:pt>
                <c:pt idx="5">
                  <c:v>0.99999999999999989</c:v>
                </c:pt>
              </c:numCache>
            </c:numRef>
          </c:xVal>
          <c:yVal>
            <c:numRef>
              <c:f>Validation!$C$52:$C$57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90-49FE-B04D-AFA510A03B2A}"/>
            </c:ext>
          </c:extLst>
        </c:ser>
        <c:ser>
          <c:idx val="1"/>
          <c:order val="1"/>
          <c:tx>
            <c:strRef>
              <c:f>Validation!$D$51</c:f>
              <c:strCache>
                <c:ptCount val="1"/>
                <c:pt idx="0">
                  <c:v>StandTpc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Validation!$B$52:$B$57</c:f>
              <c:numCache>
                <c:formatCode>0.00</c:formatCode>
                <c:ptCount val="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0.89999999999999991</c:v>
                </c:pt>
                <c:pt idx="5">
                  <c:v>0.99999999999999989</c:v>
                </c:pt>
              </c:numCache>
            </c:numRef>
          </c:xVal>
          <c:yVal>
            <c:numRef>
              <c:f>Validation!$D$52:$D$57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90-49FE-B04D-AFA510A03B2A}"/>
            </c:ext>
          </c:extLst>
        </c:ser>
        <c:ser>
          <c:idx val="2"/>
          <c:order val="2"/>
          <c:tx>
            <c:strRef>
              <c:f>Validation!$E$51</c:f>
              <c:strCache>
                <c:ptCount val="1"/>
                <c:pt idx="0">
                  <c:v>SuttonTpc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Validation!$B$52:$B$57</c:f>
              <c:numCache>
                <c:formatCode>0.00</c:formatCode>
                <c:ptCount val="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0.89999999999999991</c:v>
                </c:pt>
                <c:pt idx="5">
                  <c:v>0.99999999999999989</c:v>
                </c:pt>
              </c:numCache>
            </c:numRef>
          </c:xVal>
          <c:yVal>
            <c:numRef>
              <c:f>Validation!$E$52:$E$57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8-42B5-B5A0-F12A7012D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804063"/>
        <c:axId val="1984801663"/>
      </c:scatterChart>
      <c:valAx>
        <c:axId val="1984804063"/>
        <c:scaling>
          <c:orientation val="minMax"/>
        </c:scaling>
        <c:delete val="0"/>
        <c:axPos val="b"/>
        <c:title>
          <c:tx>
            <c:strRef>
              <c:f>Validation!$B$51</c:f>
              <c:strCache>
                <c:ptCount val="1"/>
                <c:pt idx="0">
                  <c:v>S.G.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801663"/>
        <c:crosses val="autoZero"/>
        <c:crossBetween val="midCat"/>
      </c:valAx>
      <c:valAx>
        <c:axId val="1984801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Tpc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4804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Validation!$C$43</c:f>
              <c:strCache>
                <c:ptCount val="1"/>
                <c:pt idx="0">
                  <c:v>KatzPpc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Validation!$B$44:$B$49</c:f>
              <c:numCache>
                <c:formatCode>0.00</c:formatCode>
                <c:ptCount val="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0.89999999999999991</c:v>
                </c:pt>
                <c:pt idx="5">
                  <c:v>0.99999999999999989</c:v>
                </c:pt>
              </c:numCache>
            </c:numRef>
          </c:xVal>
          <c:yVal>
            <c:numRef>
              <c:f>Validation!$C$44:$C$49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9-4F88-AF92-9BB6041D0013}"/>
            </c:ext>
          </c:extLst>
        </c:ser>
        <c:ser>
          <c:idx val="1"/>
          <c:order val="1"/>
          <c:tx>
            <c:strRef>
              <c:f>Validation!$D$43</c:f>
              <c:strCache>
                <c:ptCount val="1"/>
                <c:pt idx="0">
                  <c:v>StandPpc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Validation!$B$44:$B$49</c:f>
              <c:numCache>
                <c:formatCode>0.00</c:formatCode>
                <c:ptCount val="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0.89999999999999991</c:v>
                </c:pt>
                <c:pt idx="5">
                  <c:v>0.99999999999999989</c:v>
                </c:pt>
              </c:numCache>
            </c:numRef>
          </c:xVal>
          <c:yVal>
            <c:numRef>
              <c:f>Validation!$D$44:$D$49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59-4F88-AF92-9BB6041D0013}"/>
            </c:ext>
          </c:extLst>
        </c:ser>
        <c:ser>
          <c:idx val="2"/>
          <c:order val="2"/>
          <c:tx>
            <c:strRef>
              <c:f>Validation!$E$43</c:f>
              <c:strCache>
                <c:ptCount val="1"/>
                <c:pt idx="0">
                  <c:v>SuttonPpc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Validation!$B$44:$B$49</c:f>
              <c:numCache>
                <c:formatCode>0.00</c:formatCode>
                <c:ptCount val="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0.89999999999999991</c:v>
                </c:pt>
                <c:pt idx="5">
                  <c:v>0.99999999999999989</c:v>
                </c:pt>
              </c:numCache>
            </c:numRef>
          </c:xVal>
          <c:yVal>
            <c:numRef>
              <c:f>Validation!$E$44:$E$49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2-4F72-A0E1-753CE4EA2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177263"/>
        <c:axId val="1991177743"/>
      </c:scatterChart>
      <c:valAx>
        <c:axId val="199117726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77743"/>
        <c:crosses val="autoZero"/>
        <c:crossBetween val="midCat"/>
      </c:valAx>
      <c:valAx>
        <c:axId val="199117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177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680655708842966E-2"/>
          <c:y val="7.7652151765600932E-2"/>
          <c:w val="0.80287521165289655"/>
          <c:h val="0.829551941827197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Validation!$C$69</c:f>
              <c:strCache>
                <c:ptCount val="1"/>
                <c:pt idx="0">
                  <c:v>1.05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Validation!$C$70:$C$220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34-4ECC-A21D-CBE2E165CE7A}"/>
            </c:ext>
          </c:extLst>
        </c:ser>
        <c:ser>
          <c:idx val="1"/>
          <c:order val="1"/>
          <c:tx>
            <c:strRef>
              <c:f>Validation!$D$69</c:f>
              <c:strCache>
                <c:ptCount val="1"/>
                <c:pt idx="0">
                  <c:v>1.1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Validation!$D$70:$D$220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34-4ECC-A21D-CBE2E165CE7A}"/>
            </c:ext>
          </c:extLst>
        </c:ser>
        <c:ser>
          <c:idx val="2"/>
          <c:order val="2"/>
          <c:tx>
            <c:strRef>
              <c:f>Validation!$E$69</c:f>
              <c:strCache>
                <c:ptCount val="1"/>
                <c:pt idx="0">
                  <c:v>1.2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Validation!$E$70:$E$220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34-4ECC-A21D-CBE2E165CE7A}"/>
            </c:ext>
          </c:extLst>
        </c:ser>
        <c:ser>
          <c:idx val="3"/>
          <c:order val="3"/>
          <c:tx>
            <c:strRef>
              <c:f>Validation!$F$69</c:f>
              <c:strCache>
                <c:ptCount val="1"/>
                <c:pt idx="0">
                  <c:v>1.3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Validation!$F$70:$F$220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34-4ECC-A21D-CBE2E165CE7A}"/>
            </c:ext>
          </c:extLst>
        </c:ser>
        <c:ser>
          <c:idx val="4"/>
          <c:order val="4"/>
          <c:tx>
            <c:strRef>
              <c:f>Validation!$G$69</c:f>
              <c:strCache>
                <c:ptCount val="1"/>
                <c:pt idx="0">
                  <c:v>1.4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Validation!$G$70:$G$220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34-4ECC-A21D-CBE2E165CE7A}"/>
            </c:ext>
          </c:extLst>
        </c:ser>
        <c:ser>
          <c:idx val="5"/>
          <c:order val="5"/>
          <c:tx>
            <c:strRef>
              <c:f>Validation!$H$69</c:f>
              <c:strCache>
                <c:ptCount val="1"/>
                <c:pt idx="0">
                  <c:v>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Validation!$H$70:$H$220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C34-4ECC-A21D-CBE2E165CE7A}"/>
            </c:ext>
          </c:extLst>
        </c:ser>
        <c:ser>
          <c:idx val="6"/>
          <c:order val="6"/>
          <c:tx>
            <c:strRef>
              <c:f>Validation!$I$69</c:f>
              <c:strCache>
                <c:ptCount val="1"/>
                <c:pt idx="0">
                  <c:v>1.6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Validation!$I$70:$I$220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C34-4ECC-A21D-CBE2E165CE7A}"/>
            </c:ext>
          </c:extLst>
        </c:ser>
        <c:ser>
          <c:idx val="7"/>
          <c:order val="7"/>
          <c:tx>
            <c:strRef>
              <c:f>Validation!$J$69</c:f>
              <c:strCache>
                <c:ptCount val="1"/>
                <c:pt idx="0">
                  <c:v>1.7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Validation!$J$70:$J$220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C34-4ECC-A21D-CBE2E165CE7A}"/>
            </c:ext>
          </c:extLst>
        </c:ser>
        <c:ser>
          <c:idx val="8"/>
          <c:order val="8"/>
          <c:tx>
            <c:strRef>
              <c:f>Validation!$K$69</c:f>
              <c:strCache>
                <c:ptCount val="1"/>
                <c:pt idx="0">
                  <c:v>1.8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Validation!$K$70:$K$220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C34-4ECC-A21D-CBE2E165CE7A}"/>
            </c:ext>
          </c:extLst>
        </c:ser>
        <c:ser>
          <c:idx val="9"/>
          <c:order val="9"/>
          <c:tx>
            <c:strRef>
              <c:f>Validation!$L$69</c:f>
              <c:strCache>
                <c:ptCount val="1"/>
                <c:pt idx="0">
                  <c:v>1.9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Validation!$L$70:$L$220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C34-4ECC-A21D-CBE2E165CE7A}"/>
            </c:ext>
          </c:extLst>
        </c:ser>
        <c:ser>
          <c:idx val="10"/>
          <c:order val="10"/>
          <c:tx>
            <c:strRef>
              <c:f>Validation!$M$69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Validation!$M$70:$M$220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C34-4ECC-A21D-CBE2E165CE7A}"/>
            </c:ext>
          </c:extLst>
        </c:ser>
        <c:ser>
          <c:idx val="11"/>
          <c:order val="11"/>
          <c:tx>
            <c:strRef>
              <c:f>Validation!$N$69</c:f>
              <c:strCache>
                <c:ptCount val="1"/>
                <c:pt idx="0">
                  <c:v>2.2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Validation!$N$70:$N$220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C34-4ECC-A21D-CBE2E165CE7A}"/>
            </c:ext>
          </c:extLst>
        </c:ser>
        <c:ser>
          <c:idx val="12"/>
          <c:order val="12"/>
          <c:tx>
            <c:strRef>
              <c:f>Validation!$O$69</c:f>
              <c:strCache>
                <c:ptCount val="1"/>
                <c:pt idx="0">
                  <c:v>2.4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Validation!$O$70:$O$220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C34-4ECC-A21D-CBE2E165CE7A}"/>
            </c:ext>
          </c:extLst>
        </c:ser>
        <c:ser>
          <c:idx val="13"/>
          <c:order val="13"/>
          <c:tx>
            <c:strRef>
              <c:f>Validation!$P$69</c:f>
              <c:strCache>
                <c:ptCount val="1"/>
                <c:pt idx="0">
                  <c:v>2.6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Validation!$P$70:$P$220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C34-4ECC-A21D-CBE2E165CE7A}"/>
            </c:ext>
          </c:extLst>
        </c:ser>
        <c:ser>
          <c:idx val="14"/>
          <c:order val="14"/>
          <c:tx>
            <c:strRef>
              <c:f>Validation!$Q$69</c:f>
              <c:strCache>
                <c:ptCount val="1"/>
                <c:pt idx="0">
                  <c:v>2.8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Validation!$Q$70:$Q$220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C34-4ECC-A21D-CBE2E165CE7A}"/>
            </c:ext>
          </c:extLst>
        </c:ser>
        <c:ser>
          <c:idx val="15"/>
          <c:order val="15"/>
          <c:tx>
            <c:strRef>
              <c:f>Validation!$R$69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Validation!$B$70:$B$220</c:f>
              <c:numCache>
                <c:formatCode>0.0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</c:numCache>
            </c:numRef>
          </c:xVal>
          <c:yVal>
            <c:numRef>
              <c:f>Validation!$R$70:$R$220</c:f>
              <c:numCache>
                <c:formatCode>0.0000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C34-4ECC-A21D-CBE2E165C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894528"/>
        <c:axId val="347895008"/>
      </c:scatterChart>
      <c:valAx>
        <c:axId val="347894528"/>
        <c:scaling>
          <c:orientation val="minMax"/>
          <c:max val="1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Pseudo Reduced Pressure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895008"/>
        <c:crosses val="autoZero"/>
        <c:crossBetween val="midCat"/>
        <c:majorUnit val="1"/>
      </c:valAx>
      <c:valAx>
        <c:axId val="347895008"/>
        <c:scaling>
          <c:orientation val="minMax"/>
          <c:max val="1.8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Gas Compressibility Factor, 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894528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9748455886062284"/>
          <c:y val="7.3737099057690283E-2"/>
          <c:w val="9.3835560835213924E-2"/>
          <c:h val="0.4424829260799448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514350</xdr:colOff>
      <xdr:row>0</xdr:row>
      <xdr:rowOff>409575</xdr:rowOff>
    </xdr:from>
    <xdr:to>
      <xdr:col>13</xdr:col>
      <xdr:colOff>86828</xdr:colOff>
      <xdr:row>22</xdr:row>
      <xdr:rowOff>29229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75D5BB-A576-41AE-753B-C0B2B3445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2975" y="409575"/>
          <a:ext cx="7906853" cy="46869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247108</xdr:colOff>
      <xdr:row>13</xdr:row>
      <xdr:rowOff>171449</xdr:rowOff>
    </xdr:from>
    <xdr:to>
      <xdr:col>6</xdr:col>
      <xdr:colOff>800100</xdr:colOff>
      <xdr:row>34</xdr:row>
      <xdr:rowOff>178526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D8DA3A2-72FF-414F-85CD-CD7A736BAE3E}"/>
            </a:ext>
          </a:extLst>
        </xdr:cNvPr>
        <xdr:cNvGrpSpPr/>
      </xdr:nvGrpSpPr>
      <xdr:grpSpPr>
        <a:xfrm>
          <a:off x="247108" y="3295649"/>
          <a:ext cx="6426742" cy="4674327"/>
          <a:chOff x="7613108" y="5581649"/>
          <a:chExt cx="6433092" cy="4674327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98E67A99-15C8-BDC0-6936-8B08E9CC75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613108" y="5581649"/>
            <a:ext cx="6433092" cy="4674327"/>
          </a:xfrm>
          <a:prstGeom prst="rect">
            <a:avLst/>
          </a:prstGeom>
        </xdr:spPr>
      </xdr:pic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FA1ACE09-A1A0-99F4-415E-4A52E3976BF6}"/>
              </a:ext>
            </a:extLst>
          </xdr:cNvPr>
          <xdr:cNvGraphicFramePr/>
        </xdr:nvGraphicFramePr>
        <xdr:xfrm>
          <a:off x="7933132" y="6508750"/>
          <a:ext cx="5047488" cy="3429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285751</xdr:colOff>
      <xdr:row>49</xdr:row>
      <xdr:rowOff>7258</xdr:rowOff>
    </xdr:from>
    <xdr:to>
      <xdr:col>10</xdr:col>
      <xdr:colOff>842736</xdr:colOff>
      <xdr:row>61</xdr:row>
      <xdr:rowOff>83458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ED306E-9F3C-1BEC-311A-1D2A72942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347436</xdr:colOff>
      <xdr:row>38</xdr:row>
      <xdr:rowOff>167821</xdr:rowOff>
    </xdr:from>
    <xdr:to>
      <xdr:col>10</xdr:col>
      <xdr:colOff>720271</xdr:colOff>
      <xdr:row>47</xdr:row>
      <xdr:rowOff>218622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74B754-F102-BC2B-17E6-8D247FC09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195036</xdr:colOff>
      <xdr:row>13</xdr:row>
      <xdr:rowOff>150586</xdr:rowOff>
    </xdr:from>
    <xdr:to>
      <xdr:col>14</xdr:col>
      <xdr:colOff>325664</xdr:colOff>
      <xdr:row>34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B7C2079-D343-B93F-5FF4-BDBA15FA20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C2AD8-98C7-4671-B0D8-11926EF9DF1F}">
  <sheetPr codeName="Sheet1"/>
  <dimension ref="A1:X78"/>
  <sheetViews>
    <sheetView tabSelected="1" zoomScaleNormal="100" workbookViewId="0">
      <selection activeCell="B20" sqref="B20"/>
    </sheetView>
  </sheetViews>
  <sheetFormatPr defaultRowHeight="17.5" x14ac:dyDescent="0.45"/>
  <cols>
    <col min="1" max="1" width="19.35546875" customWidth="1"/>
    <col min="2" max="2" width="10.78515625" customWidth="1"/>
    <col min="3" max="12" width="9.640625" customWidth="1"/>
    <col min="13" max="13" width="19.85546875" bestFit="1" customWidth="1"/>
  </cols>
  <sheetData>
    <row r="1" spans="1:21" ht="37" customHeight="1" x14ac:dyDescent="0.45">
      <c r="B1" s="5" t="s">
        <v>31</v>
      </c>
      <c r="C1" s="5"/>
      <c r="D1" s="5"/>
      <c r="E1" s="5"/>
      <c r="F1" s="5"/>
      <c r="G1" s="5"/>
      <c r="H1" s="5"/>
      <c r="I1" s="5"/>
      <c r="J1" s="5"/>
      <c r="K1" s="5"/>
      <c r="L1" s="5"/>
    </row>
    <row r="2" spans="1:21" x14ac:dyDescent="0.45">
      <c r="A2" s="2" t="s">
        <v>30</v>
      </c>
      <c r="B2" s="7">
        <v>0.77</v>
      </c>
      <c r="C2" s="7"/>
      <c r="D2" s="7"/>
      <c r="E2" s="7"/>
      <c r="F2" s="7"/>
      <c r="G2" s="7"/>
      <c r="H2" s="7"/>
      <c r="I2" s="7"/>
      <c r="J2" s="7"/>
      <c r="K2" s="7"/>
      <c r="L2" s="7"/>
    </row>
    <row r="3" spans="1:21" x14ac:dyDescent="0.45">
      <c r="A3" s="2" t="s">
        <v>34</v>
      </c>
      <c r="B3" s="7">
        <v>2</v>
      </c>
      <c r="C3" s="7"/>
      <c r="D3" s="7"/>
      <c r="E3" s="7"/>
      <c r="F3" s="7"/>
      <c r="G3" s="7"/>
      <c r="H3" s="7"/>
      <c r="I3" s="7"/>
      <c r="J3" s="7"/>
      <c r="K3" s="7"/>
      <c r="L3" s="7"/>
    </row>
    <row r="4" spans="1:21" x14ac:dyDescent="0.45">
      <c r="A4" s="2" t="s">
        <v>15</v>
      </c>
      <c r="B4" s="9">
        <f>(PI()/4)*(((3^2-1^2)/12^2))</f>
        <v>4.3633231299858237E-2</v>
      </c>
      <c r="C4" s="9"/>
      <c r="D4" s="9"/>
      <c r="E4" s="9"/>
      <c r="F4" s="9"/>
      <c r="G4" s="9"/>
      <c r="H4" s="9"/>
      <c r="I4" s="9"/>
      <c r="J4" s="9"/>
      <c r="K4" s="9"/>
      <c r="L4" s="9"/>
    </row>
    <row r="5" spans="1:21" x14ac:dyDescent="0.45">
      <c r="A5" s="2" t="s">
        <v>39</v>
      </c>
      <c r="B5" s="1">
        <v>10000</v>
      </c>
      <c r="C5" s="9"/>
      <c r="D5" s="9"/>
      <c r="E5" s="9"/>
      <c r="F5" s="9"/>
      <c r="G5" s="9"/>
      <c r="H5" s="9"/>
      <c r="I5" s="9"/>
      <c r="J5" s="9"/>
      <c r="K5" s="9"/>
      <c r="L5" s="9"/>
    </row>
    <row r="6" spans="1:21" x14ac:dyDescent="0.45">
      <c r="A6" s="2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21" x14ac:dyDescent="0.45">
      <c r="A7" s="22" t="s">
        <v>32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21" x14ac:dyDescent="0.45">
      <c r="A8" s="2" t="s">
        <v>3</v>
      </c>
      <c r="B8" s="6">
        <v>100</v>
      </c>
      <c r="C8" s="6"/>
      <c r="D8" s="6"/>
      <c r="E8" s="6"/>
      <c r="F8" s="6"/>
      <c r="G8" s="6"/>
      <c r="H8" s="6"/>
      <c r="I8" s="6"/>
      <c r="J8" s="6"/>
      <c r="K8" s="6"/>
      <c r="L8" s="6"/>
      <c r="R8" s="3"/>
      <c r="S8" s="4"/>
      <c r="T8" s="4"/>
      <c r="U8" s="3"/>
    </row>
    <row r="9" spans="1:21" x14ac:dyDescent="0.45">
      <c r="A9" s="2" t="s">
        <v>7</v>
      </c>
      <c r="B9" s="6">
        <v>80</v>
      </c>
    </row>
    <row r="10" spans="1:21" x14ac:dyDescent="0.45">
      <c r="A10" s="2" t="s">
        <v>36</v>
      </c>
      <c r="B10" s="21">
        <f>B8+14.7</f>
        <v>114.7</v>
      </c>
    </row>
    <row r="11" spans="1:21" x14ac:dyDescent="0.45">
      <c r="A11" s="2" t="s">
        <v>37</v>
      </c>
      <c r="B11" s="21">
        <f>B9+459.67</f>
        <v>539.67000000000007</v>
      </c>
    </row>
    <row r="12" spans="1:21" x14ac:dyDescent="0.45">
      <c r="A12" s="2" t="s">
        <v>38</v>
      </c>
      <c r="B12" s="8" t="e" cm="1">
        <f t="array" aca="1" ref="B12" ca="1">ZKatz(B10, B11,B2)</f>
        <v>#NAME?</v>
      </c>
    </row>
    <row r="13" spans="1:21" x14ac:dyDescent="0.45">
      <c r="A13" s="22" t="s">
        <v>33</v>
      </c>
      <c r="B13" s="21"/>
    </row>
    <row r="14" spans="1:21" x14ac:dyDescent="0.45">
      <c r="A14" s="2" t="s">
        <v>7</v>
      </c>
      <c r="B14" s="6">
        <v>175</v>
      </c>
    </row>
    <row r="15" spans="1:21" x14ac:dyDescent="0.45">
      <c r="A15" s="2" t="s">
        <v>41</v>
      </c>
      <c r="B15" s="21">
        <v>147.43</v>
      </c>
    </row>
    <row r="16" spans="1:21" x14ac:dyDescent="0.45">
      <c r="A16" s="2" t="s">
        <v>40</v>
      </c>
      <c r="B16" s="21">
        <f>B$10*EXP(0.01875*((B$2*B$5)/(B$19*B$22)))</f>
        <v>147.42959263430822</v>
      </c>
    </row>
    <row r="17" spans="1:24" x14ac:dyDescent="0.45">
      <c r="A17" s="2" t="s">
        <v>42</v>
      </c>
      <c r="B17" s="21">
        <f>B15-B16</f>
        <v>4.073656917853441E-4</v>
      </c>
      <c r="C17" s="21"/>
    </row>
    <row r="18" spans="1:24" x14ac:dyDescent="0.45">
      <c r="A18" s="2" t="s">
        <v>37</v>
      </c>
      <c r="B18" s="21">
        <f>B14+459.67</f>
        <v>634.67000000000007</v>
      </c>
    </row>
    <row r="19" spans="1:24" x14ac:dyDescent="0.45">
      <c r="A19" s="2" t="s">
        <v>38</v>
      </c>
      <c r="B19" s="8" cm="1">
        <f t="array" ref="B19">_xll.ZKatz(B15, B18,B2)</f>
        <v>0.97949292306274049</v>
      </c>
    </row>
    <row r="20" spans="1:24" x14ac:dyDescent="0.45">
      <c r="A20" s="22" t="s">
        <v>35</v>
      </c>
      <c r="W20" s="8"/>
    </row>
    <row r="21" spans="1:24" x14ac:dyDescent="0.45">
      <c r="A21" s="2" t="s">
        <v>36</v>
      </c>
      <c r="B21" s="21">
        <f>(B10+B16)/2</f>
        <v>131.06479631715411</v>
      </c>
      <c r="W21" s="8"/>
    </row>
    <row r="22" spans="1:24" x14ac:dyDescent="0.45">
      <c r="A22" s="2" t="s">
        <v>37</v>
      </c>
      <c r="B22" s="21">
        <f>(B11+B18)/2</f>
        <v>587.17000000000007</v>
      </c>
      <c r="I22" s="9"/>
      <c r="J22" s="9"/>
      <c r="K22" s="9"/>
      <c r="L22" s="9"/>
    </row>
    <row r="23" spans="1:24" x14ac:dyDescent="0.45">
      <c r="A23" s="2" t="s">
        <v>38</v>
      </c>
      <c r="B23" s="8" cm="1">
        <f t="array" ref="B23">_xll.ZKatz(B21, B22, B2)</f>
        <v>0.97650093952709749</v>
      </c>
      <c r="I23" s="8"/>
      <c r="J23" s="8"/>
      <c r="K23" s="8"/>
      <c r="L23" s="8"/>
      <c r="O23" s="1"/>
    </row>
    <row r="24" spans="1:24" x14ac:dyDescent="0.45">
      <c r="B24" s="8"/>
      <c r="C24" s="8"/>
      <c r="D24" s="9"/>
      <c r="E24" s="9"/>
      <c r="F24" s="9"/>
      <c r="G24" s="9"/>
      <c r="H24" s="9"/>
      <c r="I24" s="8"/>
      <c r="J24" s="8"/>
      <c r="K24" s="8"/>
      <c r="L24" s="8"/>
    </row>
    <row r="25" spans="1:24" x14ac:dyDescent="0.45">
      <c r="J25" s="8"/>
      <c r="K25" s="8"/>
      <c r="L25" s="8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"/>
    </row>
    <row r="26" spans="1:24" x14ac:dyDescent="0.45">
      <c r="J26" s="1"/>
      <c r="K26" s="1"/>
      <c r="L26" s="1"/>
    </row>
    <row r="28" spans="1:24" x14ac:dyDescent="0.45">
      <c r="C28" s="8"/>
      <c r="D28" s="8"/>
      <c r="E28" s="8"/>
      <c r="F28" s="8"/>
      <c r="G28" s="8"/>
      <c r="H28" s="8"/>
    </row>
    <row r="29" spans="1:24" x14ac:dyDescent="0.45">
      <c r="A29" s="2"/>
      <c r="B29" s="20"/>
      <c r="C29" s="8"/>
      <c r="D29" s="8"/>
      <c r="E29" s="8"/>
      <c r="F29" s="8"/>
      <c r="G29" s="8"/>
      <c r="H29" s="8"/>
    </row>
    <row r="43" spans="2:12" x14ac:dyDescent="0.45"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2:12" x14ac:dyDescent="0.4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2:12" x14ac:dyDescent="0.4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2:12" x14ac:dyDescent="0.4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2:12" x14ac:dyDescent="0.4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2:12" x14ac:dyDescent="0.4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2:12" x14ac:dyDescent="0.4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2:12" x14ac:dyDescent="0.4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2:12" x14ac:dyDescent="0.4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2:12" x14ac:dyDescent="0.4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2:12" x14ac:dyDescent="0.4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2:12" x14ac:dyDescent="0.4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2:12" x14ac:dyDescent="0.45">
      <c r="C55" s="18"/>
    </row>
    <row r="56" spans="2:12" x14ac:dyDescent="0.45"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2:12" x14ac:dyDescent="0.45"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2:12" x14ac:dyDescent="0.45"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2:12" x14ac:dyDescent="0.45"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12" x14ac:dyDescent="0.45"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2:12" x14ac:dyDescent="0.45"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2:12" x14ac:dyDescent="0.45"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2:12" x14ac:dyDescent="0.45"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2:12" x14ac:dyDescent="0.45"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3:13" x14ac:dyDescent="0.45"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3:13" x14ac:dyDescent="0.45"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3:13" x14ac:dyDescent="0.45">
      <c r="C67" s="18"/>
    </row>
    <row r="68" spans="3:13" x14ac:dyDescent="0.45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3:13" x14ac:dyDescent="0.45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3:13" x14ac:dyDescent="0.45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3:13" x14ac:dyDescent="0.45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3:13" x14ac:dyDescent="0.45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3:13" x14ac:dyDescent="0.45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3:13" x14ac:dyDescent="0.45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3:13" x14ac:dyDescent="0.45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3:13" x14ac:dyDescent="0.45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3:13" x14ac:dyDescent="0.4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3:13" x14ac:dyDescent="0.4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94CD7-D3FE-4F43-B882-339243EA74E6}">
  <sheetPr codeName="Sheet2"/>
  <dimension ref="A1:T236"/>
  <sheetViews>
    <sheetView zoomScaleNormal="100" workbookViewId="0">
      <selection activeCell="B11" sqref="B11"/>
    </sheetView>
  </sheetViews>
  <sheetFormatPr defaultRowHeight="17.5" x14ac:dyDescent="0.45"/>
  <cols>
    <col min="1" max="1" width="17.85546875" bestFit="1" customWidth="1"/>
    <col min="2" max="11" width="9.640625" customWidth="1"/>
  </cols>
  <sheetData>
    <row r="1" spans="1:20" ht="35" x14ac:dyDescent="0.45">
      <c r="B1" s="5" t="s">
        <v>4</v>
      </c>
      <c r="C1" s="5" t="s">
        <v>5</v>
      </c>
      <c r="D1" s="5" t="s">
        <v>6</v>
      </c>
      <c r="E1" s="5" t="s">
        <v>8</v>
      </c>
      <c r="F1" s="5" t="s">
        <v>9</v>
      </c>
      <c r="G1" s="5" t="s">
        <v>10</v>
      </c>
      <c r="H1" s="5" t="s">
        <v>11</v>
      </c>
      <c r="I1" s="5" t="s">
        <v>12</v>
      </c>
      <c r="J1" s="5" t="s">
        <v>13</v>
      </c>
      <c r="K1" s="5" t="s">
        <v>14</v>
      </c>
    </row>
    <row r="2" spans="1:20" x14ac:dyDescent="0.45">
      <c r="A2" s="2" t="s">
        <v>3</v>
      </c>
      <c r="B2" s="6">
        <v>20</v>
      </c>
      <c r="C2" s="6">
        <f>B2+10</f>
        <v>30</v>
      </c>
      <c r="D2" s="6">
        <f t="shared" ref="D2:K2" si="0">C2+10</f>
        <v>40</v>
      </c>
      <c r="E2" s="6">
        <f t="shared" si="0"/>
        <v>50</v>
      </c>
      <c r="F2" s="6">
        <f t="shared" si="0"/>
        <v>60</v>
      </c>
      <c r="G2" s="6">
        <f t="shared" si="0"/>
        <v>70</v>
      </c>
      <c r="H2" s="6">
        <f t="shared" si="0"/>
        <v>80</v>
      </c>
      <c r="I2" s="6">
        <f t="shared" si="0"/>
        <v>90</v>
      </c>
      <c r="J2" s="6">
        <f t="shared" si="0"/>
        <v>100</v>
      </c>
      <c r="K2" s="6">
        <f t="shared" si="0"/>
        <v>110</v>
      </c>
      <c r="Q2" s="3"/>
      <c r="R2" s="4"/>
      <c r="S2" s="4"/>
      <c r="T2" s="3"/>
    </row>
    <row r="3" spans="1:20" x14ac:dyDescent="0.45">
      <c r="A3" s="2" t="s">
        <v>7</v>
      </c>
      <c r="B3" s="6">
        <v>200</v>
      </c>
      <c r="C3" s="6">
        <f>$B$3</f>
        <v>200</v>
      </c>
      <c r="D3" s="6">
        <f t="shared" ref="D3:K3" si="1">$B$3</f>
        <v>200</v>
      </c>
      <c r="E3" s="6">
        <f t="shared" si="1"/>
        <v>200</v>
      </c>
      <c r="F3" s="6">
        <f t="shared" si="1"/>
        <v>200</v>
      </c>
      <c r="G3" s="6">
        <f t="shared" si="1"/>
        <v>200</v>
      </c>
      <c r="H3" s="6">
        <f t="shared" si="1"/>
        <v>200</v>
      </c>
      <c r="I3" s="6">
        <f t="shared" si="1"/>
        <v>200</v>
      </c>
      <c r="J3" s="6">
        <f t="shared" si="1"/>
        <v>200</v>
      </c>
      <c r="K3" s="6">
        <f t="shared" si="1"/>
        <v>200</v>
      </c>
      <c r="Q3" s="3"/>
      <c r="R3" s="4"/>
      <c r="S3" s="4"/>
      <c r="T3" s="3"/>
    </row>
    <row r="4" spans="1:20" x14ac:dyDescent="0.45">
      <c r="A4" s="2" t="s">
        <v>2</v>
      </c>
      <c r="B4" s="7">
        <v>1</v>
      </c>
      <c r="C4" s="7">
        <f>B4</f>
        <v>1</v>
      </c>
      <c r="D4" s="7">
        <f t="shared" ref="D4:J4" si="2">C4</f>
        <v>1</v>
      </c>
      <c r="E4" s="7">
        <f t="shared" si="2"/>
        <v>1</v>
      </c>
      <c r="F4" s="7">
        <f t="shared" si="2"/>
        <v>1</v>
      </c>
      <c r="G4" s="7">
        <f t="shared" si="2"/>
        <v>1</v>
      </c>
      <c r="H4" s="7">
        <f t="shared" si="2"/>
        <v>1</v>
      </c>
      <c r="I4" s="7">
        <f t="shared" si="2"/>
        <v>1</v>
      </c>
      <c r="J4" s="7">
        <f t="shared" si="2"/>
        <v>1</v>
      </c>
      <c r="K4" s="7">
        <v>1</v>
      </c>
    </row>
    <row r="5" spans="1:20" x14ac:dyDescent="0.45">
      <c r="A5" s="2" t="s">
        <v>19</v>
      </c>
      <c r="B5" s="6">
        <v>2.016</v>
      </c>
      <c r="C5" s="6">
        <v>2.016</v>
      </c>
      <c r="D5" s="6">
        <v>2.016</v>
      </c>
      <c r="E5" s="6">
        <v>2.016</v>
      </c>
      <c r="F5" s="6">
        <v>2.016</v>
      </c>
      <c r="G5" s="6">
        <v>2.016</v>
      </c>
      <c r="H5" s="6">
        <v>2.016</v>
      </c>
      <c r="I5" s="6">
        <v>2.016</v>
      </c>
      <c r="J5" s="6">
        <v>2.016</v>
      </c>
      <c r="K5" s="6">
        <v>2.016</v>
      </c>
    </row>
    <row r="6" spans="1:20" ht="18" thickBot="1" x14ac:dyDescent="0.5">
      <c r="A6" s="2" t="s">
        <v>15</v>
      </c>
      <c r="B6" s="9">
        <f>(PI()/4)*(B5/12)^2</f>
        <v>2.2167077763729583E-2</v>
      </c>
      <c r="C6" s="9">
        <f t="shared" ref="C6:K6" si="3">(PI()/4)*(C5/12)^2</f>
        <v>2.2167077763729583E-2</v>
      </c>
      <c r="D6" s="9">
        <f t="shared" si="3"/>
        <v>2.2167077763729583E-2</v>
      </c>
      <c r="E6" s="9">
        <f t="shared" si="3"/>
        <v>2.2167077763729583E-2</v>
      </c>
      <c r="F6" s="9">
        <f t="shared" si="3"/>
        <v>2.2167077763729583E-2</v>
      </c>
      <c r="G6" s="9">
        <f t="shared" si="3"/>
        <v>2.2167077763729583E-2</v>
      </c>
      <c r="H6" s="9">
        <f t="shared" si="3"/>
        <v>2.2167077763729583E-2</v>
      </c>
      <c r="I6" s="9">
        <f t="shared" si="3"/>
        <v>2.2167077763729583E-2</v>
      </c>
      <c r="J6" s="9">
        <f t="shared" si="3"/>
        <v>2.2167077763729583E-2</v>
      </c>
      <c r="K6" s="9">
        <f t="shared" si="3"/>
        <v>2.2167077763729583E-2</v>
      </c>
    </row>
    <row r="7" spans="1:20" x14ac:dyDescent="0.45">
      <c r="A7" s="11" t="s">
        <v>0</v>
      </c>
      <c r="B7" s="12">
        <f>B2+14.7</f>
        <v>34.700000000000003</v>
      </c>
      <c r="C7" s="12">
        <f t="shared" ref="C7:K7" si="4">C2+14.7</f>
        <v>44.7</v>
      </c>
      <c r="D7" s="12">
        <f t="shared" si="4"/>
        <v>54.7</v>
      </c>
      <c r="E7" s="12">
        <f t="shared" si="4"/>
        <v>64.7</v>
      </c>
      <c r="F7" s="12">
        <f t="shared" si="4"/>
        <v>74.7</v>
      </c>
      <c r="G7" s="12">
        <f t="shared" si="4"/>
        <v>84.7</v>
      </c>
      <c r="H7" s="12">
        <f t="shared" si="4"/>
        <v>94.7</v>
      </c>
      <c r="I7" s="12">
        <f t="shared" si="4"/>
        <v>104.7</v>
      </c>
      <c r="J7" s="12">
        <f t="shared" si="4"/>
        <v>114.7</v>
      </c>
      <c r="K7" s="13">
        <f t="shared" si="4"/>
        <v>124.7</v>
      </c>
    </row>
    <row r="8" spans="1:20" ht="18" thickBot="1" x14ac:dyDescent="0.5">
      <c r="A8" s="14" t="s">
        <v>1</v>
      </c>
      <c r="B8" s="15">
        <f>B3+459.67</f>
        <v>659.67000000000007</v>
      </c>
      <c r="C8" s="15">
        <f t="shared" ref="C8:K8" si="5">C3+459.67</f>
        <v>659.67000000000007</v>
      </c>
      <c r="D8" s="15">
        <f t="shared" si="5"/>
        <v>659.67000000000007</v>
      </c>
      <c r="E8" s="15">
        <f t="shared" si="5"/>
        <v>659.67000000000007</v>
      </c>
      <c r="F8" s="15">
        <f t="shared" si="5"/>
        <v>659.67000000000007</v>
      </c>
      <c r="G8" s="15">
        <f t="shared" si="5"/>
        <v>659.67000000000007</v>
      </c>
      <c r="H8" s="15">
        <f t="shared" si="5"/>
        <v>659.67000000000007</v>
      </c>
      <c r="I8" s="15">
        <f t="shared" si="5"/>
        <v>659.67000000000007</v>
      </c>
      <c r="J8" s="15">
        <f t="shared" si="5"/>
        <v>659.67000000000007</v>
      </c>
      <c r="K8" s="16">
        <f t="shared" si="5"/>
        <v>659.67000000000007</v>
      </c>
    </row>
    <row r="9" spans="1:20" x14ac:dyDescent="0.45">
      <c r="A9" s="2" t="s">
        <v>26</v>
      </c>
      <c r="B9" s="8" t="e" cm="1">
        <f t="array" aca="1" ref="B9" ca="1">ZKatz(B7, B8, B4)</f>
        <v>#NAME?</v>
      </c>
      <c r="C9" s="8" t="e" cm="1">
        <f t="array" aca="1" ref="C9" ca="1">ZKatz(C7, C8, C4)</f>
        <v>#NAME?</v>
      </c>
      <c r="D9" s="8" t="e" cm="1">
        <f t="array" aca="1" ref="D9" ca="1">ZKatz(D7, D8, D4)</f>
        <v>#NAME?</v>
      </c>
      <c r="E9" s="8" t="e" cm="1">
        <f t="array" aca="1" ref="E9" ca="1">ZKatz(E7, E8, E4)</f>
        <v>#NAME?</v>
      </c>
      <c r="F9" s="8" t="e" cm="1">
        <f t="array" aca="1" ref="F9" ca="1">ZKatz(F7, F8, F4)</f>
        <v>#NAME?</v>
      </c>
      <c r="G9" s="8" t="e" cm="1">
        <f t="array" aca="1" ref="G9" ca="1">ZKatz(G7, G8, G4)</f>
        <v>#NAME?</v>
      </c>
      <c r="H9" s="8" t="e" cm="1">
        <f t="array" aca="1" ref="H9" ca="1">ZKatz(H7, H8, H4)</f>
        <v>#NAME?</v>
      </c>
      <c r="I9" s="8" t="e" cm="1">
        <f t="array" aca="1" ref="I9" ca="1">ZKatz(I7, I8, I4)</f>
        <v>#NAME?</v>
      </c>
      <c r="J9" s="8" t="e" cm="1">
        <f t="array" aca="1" ref="J9" ca="1">ZKatz(J7, J8, J4)</f>
        <v>#NAME?</v>
      </c>
      <c r="K9" s="8" t="e" cm="1">
        <f t="array" aca="1" ref="K9" ca="1">ZKatz(K7, K8, K4)</f>
        <v>#NAME?</v>
      </c>
    </row>
    <row r="10" spans="1:20" x14ac:dyDescent="0.45">
      <c r="A10" s="2" t="s">
        <v>18</v>
      </c>
      <c r="B10" s="9" t="e">
        <f ca="1">(2.693*B4)/(B8*B9)</f>
        <v>#NAME?</v>
      </c>
      <c r="C10" s="9" t="e">
        <f t="shared" ref="C10:K10" ca="1" si="6">(2.693*C4)/(C8*C9)</f>
        <v>#NAME?</v>
      </c>
      <c r="D10" s="9" t="e">
        <f t="shared" ca="1" si="6"/>
        <v>#NAME?</v>
      </c>
      <c r="E10" s="9" t="e">
        <f t="shared" ca="1" si="6"/>
        <v>#NAME?</v>
      </c>
      <c r="F10" s="9" t="e">
        <f t="shared" ca="1" si="6"/>
        <v>#NAME?</v>
      </c>
      <c r="G10" s="9" t="e">
        <f t="shared" ca="1" si="6"/>
        <v>#NAME?</v>
      </c>
      <c r="H10" s="9" t="e">
        <f t="shared" ca="1" si="6"/>
        <v>#NAME?</v>
      </c>
      <c r="I10" s="9" t="e">
        <f t="shared" ca="1" si="6"/>
        <v>#NAME?</v>
      </c>
      <c r="J10" s="9" t="e">
        <f t="shared" ca="1" si="6"/>
        <v>#NAME?</v>
      </c>
      <c r="K10" s="9" t="e">
        <f t="shared" ca="1" si="6"/>
        <v>#NAME?</v>
      </c>
    </row>
    <row r="11" spans="1:20" x14ac:dyDescent="0.45">
      <c r="A11" s="2" t="s">
        <v>29</v>
      </c>
      <c r="B11" s="1" t="e">
        <f ca="1">((5.62*(67-(B10*B$7))^0.25)/((B10*B$7)^0.5))</f>
        <v>#NAME?</v>
      </c>
      <c r="C11" s="1" t="e">
        <f t="shared" ref="C11:K11" ca="1" si="7">((5.62*(67-(C10*C$7))^0.25)/((C10*C$7)^0.5))</f>
        <v>#NAME?</v>
      </c>
      <c r="D11" s="1" t="e">
        <f t="shared" ca="1" si="7"/>
        <v>#NAME?</v>
      </c>
      <c r="E11" s="1" t="e">
        <f t="shared" ca="1" si="7"/>
        <v>#NAME?</v>
      </c>
      <c r="F11" s="1" t="e">
        <f t="shared" ca="1" si="7"/>
        <v>#NAME?</v>
      </c>
      <c r="G11" s="1" t="e">
        <f t="shared" ca="1" si="7"/>
        <v>#NAME?</v>
      </c>
      <c r="H11" s="1" t="e">
        <f t="shared" ca="1" si="7"/>
        <v>#NAME?</v>
      </c>
      <c r="I11" s="1" t="e">
        <f t="shared" ca="1" si="7"/>
        <v>#NAME?</v>
      </c>
      <c r="J11" s="1" t="e">
        <f t="shared" ca="1" si="7"/>
        <v>#NAME?</v>
      </c>
      <c r="K11" s="1" t="e">
        <f t="shared" ca="1" si="7"/>
        <v>#NAME?</v>
      </c>
    </row>
    <row r="12" spans="1:20" x14ac:dyDescent="0.45">
      <c r="A12" s="2" t="s">
        <v>16</v>
      </c>
      <c r="B12" s="10" t="e">
        <f ca="1">1000*((3.06*B7*B11*B6)/(B8*B9))</f>
        <v>#NAME?</v>
      </c>
      <c r="C12" s="10" t="e">
        <f t="shared" ref="C12:J12" ca="1" si="8">1000*((3.06*C7*C11*C6)/(C8*C9))</f>
        <v>#NAME?</v>
      </c>
      <c r="D12" s="10" t="e">
        <f t="shared" ca="1" si="8"/>
        <v>#NAME?</v>
      </c>
      <c r="E12" s="10" t="e">
        <f t="shared" ca="1" si="8"/>
        <v>#NAME?</v>
      </c>
      <c r="F12" s="10" t="e">
        <f t="shared" ca="1" si="8"/>
        <v>#NAME?</v>
      </c>
      <c r="G12" s="10" t="e">
        <f t="shared" ca="1" si="8"/>
        <v>#NAME?</v>
      </c>
      <c r="H12" s="10" t="e">
        <f t="shared" ca="1" si="8"/>
        <v>#NAME?</v>
      </c>
      <c r="I12" s="10" t="e">
        <f t="shared" ca="1" si="8"/>
        <v>#NAME?</v>
      </c>
      <c r="J12" s="10" t="e">
        <f t="shared" ca="1" si="8"/>
        <v>#NAME?</v>
      </c>
      <c r="K12" s="10" t="e">
        <f ca="1">1000*((3.06*K7*K11*K6)/(K8*K9))</f>
        <v>#NAME?</v>
      </c>
    </row>
    <row r="13" spans="1:20" x14ac:dyDescent="0.45">
      <c r="A13" s="2" t="s">
        <v>17</v>
      </c>
      <c r="B13" s="10" t="e">
        <f ca="1">1000*1000*((3.06*B7*B11*B6)/(B8*B9))/(60*24)</f>
        <v>#NAME?</v>
      </c>
      <c r="C13" s="10" t="e">
        <f t="shared" ref="C13:K13" ca="1" si="9">1000*1000*((3.06*C7*C11*C6)/(C8*C9))/(60*24)</f>
        <v>#NAME?</v>
      </c>
      <c r="D13" s="10" t="e">
        <f t="shared" ca="1" si="9"/>
        <v>#NAME?</v>
      </c>
      <c r="E13" s="10" t="e">
        <f t="shared" ca="1" si="9"/>
        <v>#NAME?</v>
      </c>
      <c r="F13" s="10" t="e">
        <f t="shared" ca="1" si="9"/>
        <v>#NAME?</v>
      </c>
      <c r="G13" s="10" t="e">
        <f t="shared" ca="1" si="9"/>
        <v>#NAME?</v>
      </c>
      <c r="H13" s="10" t="e">
        <f t="shared" ca="1" si="9"/>
        <v>#NAME?</v>
      </c>
      <c r="I13" s="10" t="e">
        <f t="shared" ca="1" si="9"/>
        <v>#NAME?</v>
      </c>
      <c r="J13" s="10" t="e">
        <f t="shared" ca="1" si="9"/>
        <v>#NAME?</v>
      </c>
      <c r="K13" s="10" t="e">
        <f t="shared" ca="1" si="9"/>
        <v>#NAME?</v>
      </c>
    </row>
    <row r="43" spans="2:11" x14ac:dyDescent="0.45">
      <c r="B43" t="s">
        <v>20</v>
      </c>
      <c r="C43" t="s">
        <v>21</v>
      </c>
      <c r="D43" t="s">
        <v>22</v>
      </c>
      <c r="E43" t="s">
        <v>27</v>
      </c>
    </row>
    <row r="44" spans="2:11" x14ac:dyDescent="0.45">
      <c r="B44" s="1">
        <v>0.5</v>
      </c>
      <c r="C44" s="1" t="e" cm="1">
        <f t="array" aca="1" ref="C44" ca="1">KatzGasPseudoCriticalPressure(B44)</f>
        <v>#NAME?</v>
      </c>
      <c r="D44" s="1" t="e" cm="1">
        <f t="array" aca="1" ref="D44" ca="1">StandingGasPseudoCriticalPressure(B44)</f>
        <v>#NAME?</v>
      </c>
      <c r="E44" s="1" t="e" cm="1">
        <f t="array" aca="1" ref="E44" ca="1">SuttonAssociatedGasPseudoCriticalPressure(B44)</f>
        <v>#NAME?</v>
      </c>
      <c r="G44" s="8"/>
      <c r="H44" s="8"/>
      <c r="I44" s="8"/>
      <c r="J44" s="8"/>
      <c r="K44" s="8"/>
    </row>
    <row r="45" spans="2:11" x14ac:dyDescent="0.45">
      <c r="B45" s="1">
        <f>B44+0.1</f>
        <v>0.6</v>
      </c>
      <c r="C45" s="1" t="e" cm="1">
        <f t="array" aca="1" ref="C45" ca="1">KatzGasPseudoCriticalPressure(B45)</f>
        <v>#NAME?</v>
      </c>
      <c r="D45" s="1" t="e" cm="1">
        <f t="array" aca="1" ref="D45" ca="1">StandingGasPseudoCriticalPressure(B45)</f>
        <v>#NAME?</v>
      </c>
      <c r="E45" s="1" t="e" cm="1">
        <f t="array" aca="1" ref="E45" ca="1">SuttonAssociatedGasPseudoCriticalPressure(B45)</f>
        <v>#NAME?</v>
      </c>
      <c r="G45" s="8"/>
      <c r="H45" s="8"/>
      <c r="I45" s="8"/>
      <c r="J45" s="8"/>
      <c r="K45" s="8"/>
    </row>
    <row r="46" spans="2:11" x14ac:dyDescent="0.45">
      <c r="B46" s="1">
        <f t="shared" ref="B46:B48" si="10">B45+0.1</f>
        <v>0.7</v>
      </c>
      <c r="C46" s="1" t="e" cm="1">
        <f t="array" aca="1" ref="C46" ca="1">KatzGasPseudoCriticalPressure(B46)</f>
        <v>#NAME?</v>
      </c>
      <c r="D46" s="1" t="e" cm="1">
        <f t="array" aca="1" ref="D46" ca="1">StandingGasPseudoCriticalPressure(B46)</f>
        <v>#NAME?</v>
      </c>
      <c r="E46" s="1" t="e" cm="1">
        <f t="array" aca="1" ref="E46" ca="1">SuttonAssociatedGasPseudoCriticalPressure(B46)</f>
        <v>#NAME?</v>
      </c>
      <c r="G46" s="8"/>
      <c r="H46" s="8"/>
      <c r="I46" s="8"/>
      <c r="J46" s="8"/>
      <c r="K46" s="8"/>
    </row>
    <row r="47" spans="2:11" x14ac:dyDescent="0.45">
      <c r="B47" s="1">
        <f t="shared" si="10"/>
        <v>0.79999999999999993</v>
      </c>
      <c r="C47" s="1" t="e" cm="1">
        <f t="array" aca="1" ref="C47" ca="1">KatzGasPseudoCriticalPressure(B47)</f>
        <v>#NAME?</v>
      </c>
      <c r="D47" s="1" t="e" cm="1">
        <f t="array" aca="1" ref="D47" ca="1">StandingGasPseudoCriticalPressure(B47)</f>
        <v>#NAME?</v>
      </c>
      <c r="E47" s="1" t="e" cm="1">
        <f t="array" aca="1" ref="E47" ca="1">SuttonAssociatedGasPseudoCriticalPressure(B47)</f>
        <v>#NAME?</v>
      </c>
      <c r="G47" s="8"/>
      <c r="H47" s="8"/>
      <c r="I47" s="8"/>
      <c r="J47" s="8"/>
      <c r="K47" s="8"/>
    </row>
    <row r="48" spans="2:11" x14ac:dyDescent="0.45">
      <c r="B48" s="1">
        <f t="shared" si="10"/>
        <v>0.89999999999999991</v>
      </c>
      <c r="C48" s="1" t="e" cm="1">
        <f t="array" aca="1" ref="C48" ca="1">KatzGasPseudoCriticalPressure(B48)</f>
        <v>#NAME?</v>
      </c>
      <c r="D48" s="1" t="e" cm="1">
        <f t="array" aca="1" ref="D48" ca="1">StandingGasPseudoCriticalPressure(B48)</f>
        <v>#NAME?</v>
      </c>
      <c r="E48" s="1" t="e" cm="1">
        <f t="array" aca="1" ref="E48" ca="1">SuttonAssociatedGasPseudoCriticalPressure(B48)</f>
        <v>#NAME?</v>
      </c>
      <c r="G48" s="8"/>
      <c r="H48" s="8"/>
      <c r="I48" s="8"/>
      <c r="J48" s="8"/>
      <c r="K48" s="8"/>
    </row>
    <row r="49" spans="2:11" x14ac:dyDescent="0.45">
      <c r="B49" s="1">
        <f>B48+0.1</f>
        <v>0.99999999999999989</v>
      </c>
      <c r="C49" s="1" t="e" cm="1">
        <f t="array" aca="1" ref="C49" ca="1">KatzGasPseudoCriticalPressure(B49)</f>
        <v>#NAME?</v>
      </c>
      <c r="D49" s="1" t="e" cm="1">
        <f t="array" aca="1" ref="D49" ca="1">StandingGasPseudoCriticalPressure(B49)</f>
        <v>#NAME?</v>
      </c>
      <c r="E49" s="1" t="e" cm="1">
        <f t="array" aca="1" ref="E49" ca="1">SuttonAssociatedGasPseudoCriticalPressure(B49)</f>
        <v>#NAME?</v>
      </c>
      <c r="G49" s="8"/>
      <c r="H49" s="8"/>
      <c r="I49" s="8"/>
      <c r="J49" s="8"/>
      <c r="K49" s="8"/>
    </row>
    <row r="50" spans="2:11" x14ac:dyDescent="0.45">
      <c r="B50" s="1"/>
      <c r="C50" s="8"/>
      <c r="D50" s="8"/>
      <c r="E50" s="1"/>
      <c r="F50" s="8"/>
      <c r="G50" s="8"/>
      <c r="H50" s="8"/>
      <c r="I50" s="8"/>
      <c r="J50" s="8"/>
      <c r="K50" s="8"/>
    </row>
    <row r="51" spans="2:11" x14ac:dyDescent="0.45">
      <c r="B51" t="s">
        <v>20</v>
      </c>
      <c r="C51" t="s">
        <v>23</v>
      </c>
      <c r="D51" t="s">
        <v>24</v>
      </c>
      <c r="E51" t="s">
        <v>28</v>
      </c>
      <c r="F51" s="8"/>
      <c r="G51" s="8"/>
      <c r="H51" s="8"/>
      <c r="I51" s="8"/>
      <c r="J51" s="8"/>
      <c r="K51" s="8"/>
    </row>
    <row r="52" spans="2:11" x14ac:dyDescent="0.45">
      <c r="B52" s="1">
        <v>0.5</v>
      </c>
      <c r="C52" s="1" t="e" cm="1">
        <f t="array" aca="1" ref="C52" ca="1">KatzGasPseudoCriticalTemperature(B52)</f>
        <v>#NAME?</v>
      </c>
      <c r="D52" s="1" t="e" cm="1">
        <f t="array" aca="1" ref="D52" ca="1">StandingGasPseudoCriticalTemperature(B52)</f>
        <v>#NAME?</v>
      </c>
      <c r="E52" s="1" t="e" cm="1">
        <f t="array" aca="1" ref="E52" ca="1">SuttonAssociatedGasPseudoCriticalTemperature(B52)</f>
        <v>#NAME?</v>
      </c>
      <c r="F52" s="8"/>
      <c r="G52" s="8"/>
      <c r="H52" s="8"/>
      <c r="I52" s="8"/>
      <c r="J52" s="8"/>
      <c r="K52" s="8"/>
    </row>
    <row r="53" spans="2:11" x14ac:dyDescent="0.45">
      <c r="B53" s="1">
        <f>B52+0.1</f>
        <v>0.6</v>
      </c>
      <c r="C53" s="1" t="e" cm="1">
        <f t="array" aca="1" ref="C53" ca="1">KatzGasPseudoCriticalTemperature(B53)</f>
        <v>#NAME?</v>
      </c>
      <c r="D53" s="1" t="e" cm="1">
        <f t="array" aca="1" ref="D53" ca="1">StandingGasPseudoCriticalTemperature(B53)</f>
        <v>#NAME?</v>
      </c>
      <c r="E53" s="1" t="e" cm="1">
        <f t="array" aca="1" ref="E53" ca="1">SuttonAssociatedGasPseudoCriticalTemperature(B53)</f>
        <v>#NAME?</v>
      </c>
      <c r="F53" s="8"/>
      <c r="G53" s="8"/>
      <c r="H53" s="8"/>
      <c r="I53" s="8"/>
      <c r="J53" s="8"/>
      <c r="K53" s="8"/>
    </row>
    <row r="54" spans="2:11" x14ac:dyDescent="0.45">
      <c r="B54" s="1">
        <f t="shared" ref="B54:B56" si="11">B53+0.1</f>
        <v>0.7</v>
      </c>
      <c r="C54" s="1" t="e" cm="1">
        <f t="array" aca="1" ref="C54" ca="1">KatzGasPseudoCriticalTemperature(B54)</f>
        <v>#NAME?</v>
      </c>
      <c r="D54" s="1" t="e" cm="1">
        <f t="array" aca="1" ref="D54" ca="1">StandingGasPseudoCriticalTemperature(B54)</f>
        <v>#NAME?</v>
      </c>
      <c r="E54" s="1" t="e" cm="1">
        <f t="array" aca="1" ref="E54" ca="1">SuttonAssociatedGasPseudoCriticalTemperature(B54)</f>
        <v>#NAME?</v>
      </c>
      <c r="F54" s="8"/>
      <c r="G54" s="8"/>
      <c r="H54" s="8"/>
      <c r="I54" s="8"/>
      <c r="J54" s="8"/>
      <c r="K54" s="8"/>
    </row>
    <row r="55" spans="2:11" x14ac:dyDescent="0.45">
      <c r="B55" s="1">
        <f t="shared" si="11"/>
        <v>0.79999999999999993</v>
      </c>
      <c r="C55" s="1" t="e" cm="1">
        <f t="array" aca="1" ref="C55" ca="1">KatzGasPseudoCriticalTemperature(B55)</f>
        <v>#NAME?</v>
      </c>
      <c r="D55" s="1" t="e" cm="1">
        <f t="array" aca="1" ref="D55" ca="1">StandingGasPseudoCriticalTemperature(B55)</f>
        <v>#NAME?</v>
      </c>
      <c r="E55" s="1" t="e" cm="1">
        <f t="array" aca="1" ref="E55" ca="1">SuttonAssociatedGasPseudoCriticalTemperature(B55)</f>
        <v>#NAME?</v>
      </c>
      <c r="F55" s="8"/>
      <c r="G55" s="8"/>
      <c r="H55" s="8"/>
      <c r="I55" s="8"/>
      <c r="J55" s="8"/>
      <c r="K55" s="8"/>
    </row>
    <row r="56" spans="2:11" x14ac:dyDescent="0.45">
      <c r="B56" s="1">
        <f t="shared" si="11"/>
        <v>0.89999999999999991</v>
      </c>
      <c r="C56" s="1" t="e" cm="1">
        <f t="array" aca="1" ref="C56" ca="1">KatzGasPseudoCriticalTemperature(B56)</f>
        <v>#NAME?</v>
      </c>
      <c r="D56" s="1" t="e" cm="1">
        <f t="array" aca="1" ref="D56" ca="1">StandingGasPseudoCriticalTemperature(B56)</f>
        <v>#NAME?</v>
      </c>
      <c r="E56" s="1" t="e" cm="1">
        <f t="array" aca="1" ref="E56" ca="1">SuttonAssociatedGasPseudoCriticalTemperature(B56)</f>
        <v>#NAME?</v>
      </c>
      <c r="F56" s="8"/>
      <c r="G56" s="8"/>
      <c r="H56" s="8"/>
      <c r="I56" s="8"/>
      <c r="J56" s="8"/>
      <c r="K56" s="8"/>
    </row>
    <row r="57" spans="2:11" x14ac:dyDescent="0.45">
      <c r="B57" s="1">
        <f>B56+0.1</f>
        <v>0.99999999999999989</v>
      </c>
      <c r="C57" s="1" t="e" cm="1">
        <f t="array" aca="1" ref="C57" ca="1">KatzGasPseudoCriticalTemperature(B57)</f>
        <v>#NAME?</v>
      </c>
      <c r="D57" s="1" t="e" cm="1">
        <f t="array" aca="1" ref="D57" ca="1">StandingGasPseudoCriticalTemperature(B57)</f>
        <v>#NAME?</v>
      </c>
      <c r="E57" s="1" t="e" cm="1">
        <f t="array" aca="1" ref="E57" ca="1">SuttonAssociatedGasPseudoCriticalTemperature(B57)</f>
        <v>#NAME?</v>
      </c>
      <c r="F57" s="8"/>
      <c r="G57" s="8"/>
      <c r="H57" s="8"/>
      <c r="I57" s="8"/>
      <c r="J57" s="8"/>
      <c r="K57" s="8"/>
    </row>
    <row r="58" spans="2:11" x14ac:dyDescent="0.45">
      <c r="C58" s="8"/>
      <c r="D58" s="8"/>
      <c r="E58" s="8"/>
      <c r="F58" s="8"/>
      <c r="G58" s="8"/>
      <c r="H58" s="8"/>
      <c r="I58" s="8"/>
      <c r="J58" s="8"/>
      <c r="K58" s="8"/>
    </row>
    <row r="59" spans="2:11" x14ac:dyDescent="0.45">
      <c r="C59" s="8"/>
      <c r="D59" s="8"/>
      <c r="E59" s="8"/>
      <c r="F59" s="8"/>
      <c r="G59" s="8"/>
      <c r="H59" s="8"/>
      <c r="I59" s="8"/>
      <c r="J59" s="8"/>
      <c r="K59" s="8"/>
    </row>
    <row r="60" spans="2:11" x14ac:dyDescent="0.45">
      <c r="C60" s="8"/>
      <c r="D60" s="8"/>
      <c r="E60" s="8"/>
      <c r="F60" s="8"/>
      <c r="G60" s="8"/>
      <c r="H60" s="8"/>
      <c r="I60" s="8"/>
      <c r="J60" s="8"/>
      <c r="K60" s="8"/>
    </row>
    <row r="61" spans="2:11" x14ac:dyDescent="0.45">
      <c r="C61" s="8"/>
      <c r="D61" s="8"/>
      <c r="E61" s="8"/>
      <c r="F61" s="8"/>
      <c r="G61" s="8"/>
      <c r="H61" s="8"/>
      <c r="I61" s="8"/>
      <c r="J61" s="8"/>
      <c r="K61" s="8"/>
    </row>
    <row r="62" spans="2:11" x14ac:dyDescent="0.45">
      <c r="C62" s="8"/>
      <c r="D62" s="8"/>
      <c r="E62" s="8"/>
      <c r="F62" s="8"/>
      <c r="G62" s="8"/>
      <c r="H62" s="8"/>
      <c r="I62" s="8"/>
      <c r="J62" s="8"/>
      <c r="K62" s="8"/>
    </row>
    <row r="63" spans="2:11" x14ac:dyDescent="0.45">
      <c r="C63" s="8"/>
      <c r="D63" s="8"/>
      <c r="E63" s="8"/>
      <c r="F63" s="8"/>
      <c r="G63" s="8"/>
      <c r="H63" s="8"/>
      <c r="I63" s="8"/>
      <c r="J63" s="8"/>
      <c r="K63" s="8"/>
    </row>
    <row r="69" spans="2:18" x14ac:dyDescent="0.45">
      <c r="B69" t="s">
        <v>25</v>
      </c>
      <c r="C69">
        <v>1.05</v>
      </c>
      <c r="D69">
        <v>1.1000000000000001</v>
      </c>
      <c r="E69">
        <f t="shared" ref="E69:M69" si="12">D69+0.1</f>
        <v>1.2000000000000002</v>
      </c>
      <c r="F69">
        <f t="shared" si="12"/>
        <v>1.3000000000000003</v>
      </c>
      <c r="G69">
        <f t="shared" si="12"/>
        <v>1.4000000000000004</v>
      </c>
      <c r="H69">
        <f t="shared" si="12"/>
        <v>1.5000000000000004</v>
      </c>
      <c r="I69">
        <f t="shared" si="12"/>
        <v>1.6000000000000005</v>
      </c>
      <c r="J69">
        <f t="shared" si="12"/>
        <v>1.7000000000000006</v>
      </c>
      <c r="K69">
        <f t="shared" si="12"/>
        <v>1.8000000000000007</v>
      </c>
      <c r="L69">
        <f t="shared" si="12"/>
        <v>1.9000000000000008</v>
      </c>
      <c r="M69">
        <f t="shared" si="12"/>
        <v>2.0000000000000009</v>
      </c>
      <c r="N69">
        <f>M69+0.2</f>
        <v>2.2000000000000011</v>
      </c>
      <c r="O69">
        <f>N69+0.2</f>
        <v>2.4000000000000012</v>
      </c>
      <c r="P69">
        <f>O69+0.2</f>
        <v>2.6000000000000014</v>
      </c>
      <c r="Q69">
        <f>P69+0.2</f>
        <v>2.8000000000000016</v>
      </c>
      <c r="R69">
        <f>Q69+0.2</f>
        <v>3.0000000000000018</v>
      </c>
    </row>
    <row r="70" spans="2:18" x14ac:dyDescent="0.45">
      <c r="B70" s="17">
        <v>0</v>
      </c>
      <c r="C70" s="8" t="e" cm="1">
        <f t="array" aca="1" ref="C70" ca="1">ZKatzReduced($B70, C$69)</f>
        <v>#NAME?</v>
      </c>
      <c r="D70" s="8" t="e" cm="1">
        <f t="array" aca="1" ref="D70" ca="1">ZKatzReduced($B70, D$69)</f>
        <v>#NAME?</v>
      </c>
      <c r="E70" s="8" t="e" cm="1">
        <f t="array" aca="1" ref="E70" ca="1">ZKatzReduced($B70, E$69)</f>
        <v>#NAME?</v>
      </c>
      <c r="F70" s="8" t="e" cm="1">
        <f t="array" aca="1" ref="F70" ca="1">ZKatzReduced($B70, F$69)</f>
        <v>#NAME?</v>
      </c>
      <c r="G70" s="8" t="e" cm="1">
        <f t="array" aca="1" ref="G70" ca="1">ZKatzReduced($B70, G$69)</f>
        <v>#NAME?</v>
      </c>
      <c r="H70" s="8" t="e" cm="1">
        <f t="array" aca="1" ref="H70" ca="1">ZKatzReduced($B70, H$69)</f>
        <v>#NAME?</v>
      </c>
      <c r="I70" s="8" t="e" cm="1">
        <f t="array" aca="1" ref="I70" ca="1">ZKatzReduced($B70, I$69)</f>
        <v>#NAME?</v>
      </c>
      <c r="J70" s="8" t="e" cm="1">
        <f t="array" aca="1" ref="J70" ca="1">ZKatzReduced($B70, J$69)</f>
        <v>#NAME?</v>
      </c>
      <c r="K70" s="8" t="e" cm="1">
        <f t="array" aca="1" ref="K70" ca="1">ZKatzReduced($B70, K$69)</f>
        <v>#NAME?</v>
      </c>
      <c r="L70" s="8" t="e" cm="1">
        <f t="array" aca="1" ref="L70" ca="1">ZKatzReduced($B70, L$69)</f>
        <v>#NAME?</v>
      </c>
      <c r="M70" s="8" t="e" cm="1">
        <f t="array" aca="1" ref="M70" ca="1">ZKatzReduced($B70, M$69)</f>
        <v>#NAME?</v>
      </c>
      <c r="N70" s="8" t="e" cm="1">
        <f t="array" aca="1" ref="N70" ca="1">ZKatzReduced($B70, N$69)</f>
        <v>#NAME?</v>
      </c>
      <c r="O70" s="8" t="e" cm="1">
        <f t="array" aca="1" ref="O70" ca="1">ZKatzReduced($B70, O$69)</f>
        <v>#NAME?</v>
      </c>
      <c r="P70" s="8" t="e" cm="1">
        <f t="array" aca="1" ref="P70" ca="1">ZKatzReduced($B70, P$69)</f>
        <v>#NAME?</v>
      </c>
      <c r="Q70" s="8" t="e" cm="1">
        <f t="array" aca="1" ref="Q70" ca="1">ZKatzReduced($B70, Q$69)</f>
        <v>#NAME?</v>
      </c>
      <c r="R70" s="8" t="e" cm="1">
        <f t="array" aca="1" ref="R70" ca="1">ZKatzReduced($B70, R$69)</f>
        <v>#NAME?</v>
      </c>
    </row>
    <row r="71" spans="2:18" x14ac:dyDescent="0.45">
      <c r="B71" s="17">
        <f>B70+0.1</f>
        <v>0.1</v>
      </c>
      <c r="C71" s="8" t="e" cm="1">
        <f t="array" aca="1" ref="C71" ca="1">ZKatzReduced($B71, C$69)</f>
        <v>#NAME?</v>
      </c>
      <c r="D71" s="8" t="e" cm="1">
        <f t="array" aca="1" ref="D71" ca="1">ZKatzReduced($B71, D$69)</f>
        <v>#NAME?</v>
      </c>
      <c r="E71" s="8" t="e" cm="1">
        <f t="array" aca="1" ref="E71" ca="1">ZKatzReduced($B71, E$69)</f>
        <v>#NAME?</v>
      </c>
      <c r="F71" s="8" t="e" cm="1">
        <f t="array" aca="1" ref="F71" ca="1">ZKatzReduced($B71, F$69)</f>
        <v>#NAME?</v>
      </c>
      <c r="G71" s="8" t="e" cm="1">
        <f t="array" aca="1" ref="G71" ca="1">ZKatzReduced($B71, G$69)</f>
        <v>#NAME?</v>
      </c>
      <c r="H71" s="8" t="e" cm="1">
        <f t="array" aca="1" ref="H71" ca="1">ZKatzReduced($B71, H$69)</f>
        <v>#NAME?</v>
      </c>
      <c r="I71" s="8" t="e" cm="1">
        <f t="array" aca="1" ref="I71" ca="1">ZKatzReduced($B71, I$69)</f>
        <v>#NAME?</v>
      </c>
      <c r="J71" s="8" t="e" cm="1">
        <f t="array" aca="1" ref="J71" ca="1">ZKatzReduced($B71, J$69)</f>
        <v>#NAME?</v>
      </c>
      <c r="K71" s="8" t="e" cm="1">
        <f t="array" aca="1" ref="K71" ca="1">ZKatzReduced($B71, K$69)</f>
        <v>#NAME?</v>
      </c>
      <c r="L71" s="8" t="e" cm="1">
        <f t="array" aca="1" ref="L71" ca="1">ZKatzReduced($B71, L$69)</f>
        <v>#NAME?</v>
      </c>
      <c r="M71" s="8" t="e" cm="1">
        <f t="array" aca="1" ref="M71" ca="1">ZKatzReduced($B71, M$69)</f>
        <v>#NAME?</v>
      </c>
      <c r="N71" s="8" t="e" cm="1">
        <f t="array" aca="1" ref="N71" ca="1">ZKatzReduced($B71, N$69)</f>
        <v>#NAME?</v>
      </c>
      <c r="O71" s="8" t="e" cm="1">
        <f t="array" aca="1" ref="O71" ca="1">ZKatzReduced($B71, O$69)</f>
        <v>#NAME?</v>
      </c>
      <c r="P71" s="8" t="e" cm="1">
        <f t="array" aca="1" ref="P71" ca="1">ZKatzReduced($B71, P$69)</f>
        <v>#NAME?</v>
      </c>
      <c r="Q71" s="8" t="e" cm="1">
        <f t="array" aca="1" ref="Q71" ca="1">ZKatzReduced($B71, Q$69)</f>
        <v>#NAME?</v>
      </c>
      <c r="R71" s="8" t="e" cm="1">
        <f t="array" aca="1" ref="R71" ca="1">ZKatzReduced($B71, R$69)</f>
        <v>#NAME?</v>
      </c>
    </row>
    <row r="72" spans="2:18" x14ac:dyDescent="0.45">
      <c r="B72" s="17">
        <f t="shared" ref="B72:B135" si="13">B71+0.1</f>
        <v>0.2</v>
      </c>
      <c r="C72" s="8" t="e" cm="1">
        <f t="array" aca="1" ref="C72" ca="1">ZKatzReduced($B72, C$69)</f>
        <v>#NAME?</v>
      </c>
      <c r="D72" s="8" t="e" cm="1">
        <f t="array" aca="1" ref="D72" ca="1">ZKatzReduced($B72, D$69)</f>
        <v>#NAME?</v>
      </c>
      <c r="E72" s="8" t="e" cm="1">
        <f t="array" aca="1" ref="E72" ca="1">ZKatzReduced($B72, E$69)</f>
        <v>#NAME?</v>
      </c>
      <c r="F72" s="8" t="e" cm="1">
        <f t="array" aca="1" ref="F72" ca="1">ZKatzReduced($B72, F$69)</f>
        <v>#NAME?</v>
      </c>
      <c r="G72" s="8" t="e" cm="1">
        <f t="array" aca="1" ref="G72" ca="1">ZKatzReduced($B72, G$69)</f>
        <v>#NAME?</v>
      </c>
      <c r="H72" s="8" t="e" cm="1">
        <f t="array" aca="1" ref="H72" ca="1">ZKatzReduced($B72, H$69)</f>
        <v>#NAME?</v>
      </c>
      <c r="I72" s="8" t="e" cm="1">
        <f t="array" aca="1" ref="I72" ca="1">ZKatzReduced($B72, I$69)</f>
        <v>#NAME?</v>
      </c>
      <c r="J72" s="8" t="e" cm="1">
        <f t="array" aca="1" ref="J72" ca="1">ZKatzReduced($B72, J$69)</f>
        <v>#NAME?</v>
      </c>
      <c r="K72" s="8" t="e" cm="1">
        <f t="array" aca="1" ref="K72" ca="1">ZKatzReduced($B72, K$69)</f>
        <v>#NAME?</v>
      </c>
      <c r="L72" s="8" t="e" cm="1">
        <f t="array" aca="1" ref="L72" ca="1">ZKatzReduced($B72, L$69)</f>
        <v>#NAME?</v>
      </c>
      <c r="M72" s="8" t="e" cm="1">
        <f t="array" aca="1" ref="M72" ca="1">ZKatzReduced($B72, M$69)</f>
        <v>#NAME?</v>
      </c>
      <c r="N72" s="8" t="e" cm="1">
        <f t="array" aca="1" ref="N72" ca="1">ZKatzReduced($B72, N$69)</f>
        <v>#NAME?</v>
      </c>
      <c r="O72" s="8" t="e" cm="1">
        <f t="array" aca="1" ref="O72" ca="1">ZKatzReduced($B72, O$69)</f>
        <v>#NAME?</v>
      </c>
      <c r="P72" s="8" t="e" cm="1">
        <f t="array" aca="1" ref="P72" ca="1">ZKatzReduced($B72, P$69)</f>
        <v>#NAME?</v>
      </c>
      <c r="Q72" s="8" t="e" cm="1">
        <f t="array" aca="1" ref="Q72" ca="1">ZKatzReduced($B72, Q$69)</f>
        <v>#NAME?</v>
      </c>
      <c r="R72" s="8" t="e" cm="1">
        <f t="array" aca="1" ref="R72" ca="1">ZKatzReduced($B72, R$69)</f>
        <v>#NAME?</v>
      </c>
    </row>
    <row r="73" spans="2:18" x14ac:dyDescent="0.45">
      <c r="B73" s="17">
        <f t="shared" si="13"/>
        <v>0.30000000000000004</v>
      </c>
      <c r="C73" s="8" t="e" cm="1">
        <f t="array" aca="1" ref="C73" ca="1">ZKatzReduced($B73, C$69)</f>
        <v>#NAME?</v>
      </c>
      <c r="D73" s="8" t="e" cm="1">
        <f t="array" aca="1" ref="D73" ca="1">ZKatzReduced($B73, D$69)</f>
        <v>#NAME?</v>
      </c>
      <c r="E73" s="8" t="e" cm="1">
        <f t="array" aca="1" ref="E73" ca="1">ZKatzReduced($B73, E$69)</f>
        <v>#NAME?</v>
      </c>
      <c r="F73" s="8" t="e" cm="1">
        <f t="array" aca="1" ref="F73" ca="1">ZKatzReduced($B73, F$69)</f>
        <v>#NAME?</v>
      </c>
      <c r="G73" s="8" t="e" cm="1">
        <f t="array" aca="1" ref="G73" ca="1">ZKatzReduced($B73, G$69)</f>
        <v>#NAME?</v>
      </c>
      <c r="H73" s="8" t="e" cm="1">
        <f t="array" aca="1" ref="H73" ca="1">ZKatzReduced($B73, H$69)</f>
        <v>#NAME?</v>
      </c>
      <c r="I73" s="8" t="e" cm="1">
        <f t="array" aca="1" ref="I73" ca="1">ZKatzReduced($B73, I$69)</f>
        <v>#NAME?</v>
      </c>
      <c r="J73" s="8" t="e" cm="1">
        <f t="array" aca="1" ref="J73" ca="1">ZKatzReduced($B73, J$69)</f>
        <v>#NAME?</v>
      </c>
      <c r="K73" s="8" t="e" cm="1">
        <f t="array" aca="1" ref="K73" ca="1">ZKatzReduced($B73, K$69)</f>
        <v>#NAME?</v>
      </c>
      <c r="L73" s="8" t="e" cm="1">
        <f t="array" aca="1" ref="L73" ca="1">ZKatzReduced($B73, L$69)</f>
        <v>#NAME?</v>
      </c>
      <c r="M73" s="8" t="e" cm="1">
        <f t="array" aca="1" ref="M73" ca="1">ZKatzReduced($B73, M$69)</f>
        <v>#NAME?</v>
      </c>
      <c r="N73" s="8" t="e" cm="1">
        <f t="array" aca="1" ref="N73" ca="1">ZKatzReduced($B73, N$69)</f>
        <v>#NAME?</v>
      </c>
      <c r="O73" s="8" t="e" cm="1">
        <f t="array" aca="1" ref="O73" ca="1">ZKatzReduced($B73, O$69)</f>
        <v>#NAME?</v>
      </c>
      <c r="P73" s="8" t="e" cm="1">
        <f t="array" aca="1" ref="P73" ca="1">ZKatzReduced($B73, P$69)</f>
        <v>#NAME?</v>
      </c>
      <c r="Q73" s="8" t="e" cm="1">
        <f t="array" aca="1" ref="Q73" ca="1">ZKatzReduced($B73, Q$69)</f>
        <v>#NAME?</v>
      </c>
      <c r="R73" s="8" t="e" cm="1">
        <f t="array" aca="1" ref="R73" ca="1">ZKatzReduced($B73, R$69)</f>
        <v>#NAME?</v>
      </c>
    </row>
    <row r="74" spans="2:18" x14ac:dyDescent="0.45">
      <c r="B74" s="17">
        <f t="shared" si="13"/>
        <v>0.4</v>
      </c>
      <c r="C74" s="8" t="e" cm="1">
        <f t="array" aca="1" ref="C74" ca="1">ZKatzReduced($B74, C$69)</f>
        <v>#NAME?</v>
      </c>
      <c r="D74" s="8" t="e" cm="1">
        <f t="array" aca="1" ref="D74" ca="1">ZKatzReduced($B74, D$69)</f>
        <v>#NAME?</v>
      </c>
      <c r="E74" s="8" t="e" cm="1">
        <f t="array" aca="1" ref="E74" ca="1">ZKatzReduced($B74, E$69)</f>
        <v>#NAME?</v>
      </c>
      <c r="F74" s="8" t="e" cm="1">
        <f t="array" aca="1" ref="F74" ca="1">ZKatzReduced($B74, F$69)</f>
        <v>#NAME?</v>
      </c>
      <c r="G74" s="8" t="e" cm="1">
        <f t="array" aca="1" ref="G74" ca="1">ZKatzReduced($B74, G$69)</f>
        <v>#NAME?</v>
      </c>
      <c r="H74" s="8" t="e" cm="1">
        <f t="array" aca="1" ref="H74" ca="1">ZKatzReduced($B74, H$69)</f>
        <v>#NAME?</v>
      </c>
      <c r="I74" s="8" t="e" cm="1">
        <f t="array" aca="1" ref="I74" ca="1">ZKatzReduced($B74, I$69)</f>
        <v>#NAME?</v>
      </c>
      <c r="J74" s="8" t="e" cm="1">
        <f t="array" aca="1" ref="J74" ca="1">ZKatzReduced($B74, J$69)</f>
        <v>#NAME?</v>
      </c>
      <c r="K74" s="8" t="e" cm="1">
        <f t="array" aca="1" ref="K74" ca="1">ZKatzReduced($B74, K$69)</f>
        <v>#NAME?</v>
      </c>
      <c r="L74" s="8" t="e" cm="1">
        <f t="array" aca="1" ref="L74" ca="1">ZKatzReduced($B74, L$69)</f>
        <v>#NAME?</v>
      </c>
      <c r="M74" s="8" t="e" cm="1">
        <f t="array" aca="1" ref="M74" ca="1">ZKatzReduced($B74, M$69)</f>
        <v>#NAME?</v>
      </c>
      <c r="N74" s="8" t="e" cm="1">
        <f t="array" aca="1" ref="N74" ca="1">ZKatzReduced($B74, N$69)</f>
        <v>#NAME?</v>
      </c>
      <c r="O74" s="8" t="e" cm="1">
        <f t="array" aca="1" ref="O74" ca="1">ZKatzReduced($B74, O$69)</f>
        <v>#NAME?</v>
      </c>
      <c r="P74" s="8" t="e" cm="1">
        <f t="array" aca="1" ref="P74" ca="1">ZKatzReduced($B74, P$69)</f>
        <v>#NAME?</v>
      </c>
      <c r="Q74" s="8" t="e" cm="1">
        <f t="array" aca="1" ref="Q74" ca="1">ZKatzReduced($B74, Q$69)</f>
        <v>#NAME?</v>
      </c>
      <c r="R74" s="8" t="e" cm="1">
        <f t="array" aca="1" ref="R74" ca="1">ZKatzReduced($B74, R$69)</f>
        <v>#NAME?</v>
      </c>
    </row>
    <row r="75" spans="2:18" x14ac:dyDescent="0.45">
      <c r="B75" s="17">
        <f t="shared" si="13"/>
        <v>0.5</v>
      </c>
      <c r="C75" s="8" t="e" cm="1">
        <f t="array" aca="1" ref="C75" ca="1">ZKatzReduced($B75, C$69)</f>
        <v>#NAME?</v>
      </c>
      <c r="D75" s="8" t="e" cm="1">
        <f t="array" aca="1" ref="D75" ca="1">ZKatzReduced($B75, D$69)</f>
        <v>#NAME?</v>
      </c>
      <c r="E75" s="8" t="e" cm="1">
        <f t="array" aca="1" ref="E75" ca="1">ZKatzReduced($B75, E$69)</f>
        <v>#NAME?</v>
      </c>
      <c r="F75" s="8" t="e" cm="1">
        <f t="array" aca="1" ref="F75" ca="1">ZKatzReduced($B75, F$69)</f>
        <v>#NAME?</v>
      </c>
      <c r="G75" s="8" t="e" cm="1">
        <f t="array" aca="1" ref="G75" ca="1">ZKatzReduced($B75, G$69)</f>
        <v>#NAME?</v>
      </c>
      <c r="H75" s="8" t="e" cm="1">
        <f t="array" aca="1" ref="H75" ca="1">ZKatzReduced($B75, H$69)</f>
        <v>#NAME?</v>
      </c>
      <c r="I75" s="8" t="e" cm="1">
        <f t="array" aca="1" ref="I75" ca="1">ZKatzReduced($B75, I$69)</f>
        <v>#NAME?</v>
      </c>
      <c r="J75" s="8" t="e" cm="1">
        <f t="array" aca="1" ref="J75" ca="1">ZKatzReduced($B75, J$69)</f>
        <v>#NAME?</v>
      </c>
      <c r="K75" s="8" t="e" cm="1">
        <f t="array" aca="1" ref="K75" ca="1">ZKatzReduced($B75, K$69)</f>
        <v>#NAME?</v>
      </c>
      <c r="L75" s="8" t="e" cm="1">
        <f t="array" aca="1" ref="L75" ca="1">ZKatzReduced($B75, L$69)</f>
        <v>#NAME?</v>
      </c>
      <c r="M75" s="8" t="e" cm="1">
        <f t="array" aca="1" ref="M75" ca="1">ZKatzReduced($B75, M$69)</f>
        <v>#NAME?</v>
      </c>
      <c r="N75" s="8" t="e" cm="1">
        <f t="array" aca="1" ref="N75" ca="1">ZKatzReduced($B75, N$69)</f>
        <v>#NAME?</v>
      </c>
      <c r="O75" s="8" t="e" cm="1">
        <f t="array" aca="1" ref="O75" ca="1">ZKatzReduced($B75, O$69)</f>
        <v>#NAME?</v>
      </c>
      <c r="P75" s="8" t="e" cm="1">
        <f t="array" aca="1" ref="P75" ca="1">ZKatzReduced($B75, P$69)</f>
        <v>#NAME?</v>
      </c>
      <c r="Q75" s="8" t="e" cm="1">
        <f t="array" aca="1" ref="Q75" ca="1">ZKatzReduced($B75, Q$69)</f>
        <v>#NAME?</v>
      </c>
      <c r="R75" s="8" t="e" cm="1">
        <f t="array" aca="1" ref="R75" ca="1">ZKatzReduced($B75, R$69)</f>
        <v>#NAME?</v>
      </c>
    </row>
    <row r="76" spans="2:18" x14ac:dyDescent="0.45">
      <c r="B76" s="17">
        <f t="shared" si="13"/>
        <v>0.6</v>
      </c>
      <c r="C76" s="8" t="e" cm="1">
        <f t="array" aca="1" ref="C76" ca="1">ZKatzReduced($B76, C$69)</f>
        <v>#NAME?</v>
      </c>
      <c r="D76" s="8" t="e" cm="1">
        <f t="array" aca="1" ref="D76" ca="1">ZKatzReduced($B76, D$69)</f>
        <v>#NAME?</v>
      </c>
      <c r="E76" s="8" t="e" cm="1">
        <f t="array" aca="1" ref="E76" ca="1">ZKatzReduced($B76, E$69)</f>
        <v>#NAME?</v>
      </c>
      <c r="F76" s="8" t="e" cm="1">
        <f t="array" aca="1" ref="F76" ca="1">ZKatzReduced($B76, F$69)</f>
        <v>#NAME?</v>
      </c>
      <c r="G76" s="8" t="e" cm="1">
        <f t="array" aca="1" ref="G76" ca="1">ZKatzReduced($B76, G$69)</f>
        <v>#NAME?</v>
      </c>
      <c r="H76" s="8" t="e" cm="1">
        <f t="array" aca="1" ref="H76" ca="1">ZKatzReduced($B76, H$69)</f>
        <v>#NAME?</v>
      </c>
      <c r="I76" s="8" t="e" cm="1">
        <f t="array" aca="1" ref="I76" ca="1">ZKatzReduced($B76, I$69)</f>
        <v>#NAME?</v>
      </c>
      <c r="J76" s="8" t="e" cm="1">
        <f t="array" aca="1" ref="J76" ca="1">ZKatzReduced($B76, J$69)</f>
        <v>#NAME?</v>
      </c>
      <c r="K76" s="8" t="e" cm="1">
        <f t="array" aca="1" ref="K76" ca="1">ZKatzReduced($B76, K$69)</f>
        <v>#NAME?</v>
      </c>
      <c r="L76" s="8" t="e" cm="1">
        <f t="array" aca="1" ref="L76" ca="1">ZKatzReduced($B76, L$69)</f>
        <v>#NAME?</v>
      </c>
      <c r="M76" s="8" t="e" cm="1">
        <f t="array" aca="1" ref="M76" ca="1">ZKatzReduced($B76, M$69)</f>
        <v>#NAME?</v>
      </c>
      <c r="N76" s="8" t="e" cm="1">
        <f t="array" aca="1" ref="N76" ca="1">ZKatzReduced($B76, N$69)</f>
        <v>#NAME?</v>
      </c>
      <c r="O76" s="8" t="e" cm="1">
        <f t="array" aca="1" ref="O76" ca="1">ZKatzReduced($B76, O$69)</f>
        <v>#NAME?</v>
      </c>
      <c r="P76" s="8" t="e" cm="1">
        <f t="array" aca="1" ref="P76" ca="1">ZKatzReduced($B76, P$69)</f>
        <v>#NAME?</v>
      </c>
      <c r="Q76" s="8" t="e" cm="1">
        <f t="array" aca="1" ref="Q76" ca="1">ZKatzReduced($B76, Q$69)</f>
        <v>#NAME?</v>
      </c>
      <c r="R76" s="8" t="e" cm="1">
        <f t="array" aca="1" ref="R76" ca="1">ZKatzReduced($B76, R$69)</f>
        <v>#NAME?</v>
      </c>
    </row>
    <row r="77" spans="2:18" x14ac:dyDescent="0.45">
      <c r="B77" s="17">
        <f t="shared" si="13"/>
        <v>0.7</v>
      </c>
      <c r="C77" s="8" t="e" cm="1">
        <f t="array" aca="1" ref="C77" ca="1">ZKatzReduced($B77, C$69)</f>
        <v>#NAME?</v>
      </c>
      <c r="D77" s="8" t="e" cm="1">
        <f t="array" aca="1" ref="D77" ca="1">ZKatzReduced($B77, D$69)</f>
        <v>#NAME?</v>
      </c>
      <c r="E77" s="8" t="e" cm="1">
        <f t="array" aca="1" ref="E77" ca="1">ZKatzReduced($B77, E$69)</f>
        <v>#NAME?</v>
      </c>
      <c r="F77" s="8" t="e" cm="1">
        <f t="array" aca="1" ref="F77" ca="1">ZKatzReduced($B77, F$69)</f>
        <v>#NAME?</v>
      </c>
      <c r="G77" s="8" t="e" cm="1">
        <f t="array" aca="1" ref="G77" ca="1">ZKatzReduced($B77, G$69)</f>
        <v>#NAME?</v>
      </c>
      <c r="H77" s="8" t="e" cm="1">
        <f t="array" aca="1" ref="H77" ca="1">ZKatzReduced($B77, H$69)</f>
        <v>#NAME?</v>
      </c>
      <c r="I77" s="8" t="e" cm="1">
        <f t="array" aca="1" ref="I77" ca="1">ZKatzReduced($B77, I$69)</f>
        <v>#NAME?</v>
      </c>
      <c r="J77" s="8" t="e" cm="1">
        <f t="array" aca="1" ref="J77" ca="1">ZKatzReduced($B77, J$69)</f>
        <v>#NAME?</v>
      </c>
      <c r="K77" s="8" t="e" cm="1">
        <f t="array" aca="1" ref="K77" ca="1">ZKatzReduced($B77, K$69)</f>
        <v>#NAME?</v>
      </c>
      <c r="L77" s="8" t="e" cm="1">
        <f t="array" aca="1" ref="L77" ca="1">ZKatzReduced($B77, L$69)</f>
        <v>#NAME?</v>
      </c>
      <c r="M77" s="8" t="e" cm="1">
        <f t="array" aca="1" ref="M77" ca="1">ZKatzReduced($B77, M$69)</f>
        <v>#NAME?</v>
      </c>
      <c r="N77" s="8" t="e" cm="1">
        <f t="array" aca="1" ref="N77" ca="1">ZKatzReduced($B77, N$69)</f>
        <v>#NAME?</v>
      </c>
      <c r="O77" s="8" t="e" cm="1">
        <f t="array" aca="1" ref="O77" ca="1">ZKatzReduced($B77, O$69)</f>
        <v>#NAME?</v>
      </c>
      <c r="P77" s="8" t="e" cm="1">
        <f t="array" aca="1" ref="P77" ca="1">ZKatzReduced($B77, P$69)</f>
        <v>#NAME?</v>
      </c>
      <c r="Q77" s="8" t="e" cm="1">
        <f t="array" aca="1" ref="Q77" ca="1">ZKatzReduced($B77, Q$69)</f>
        <v>#NAME?</v>
      </c>
      <c r="R77" s="8" t="e" cm="1">
        <f t="array" aca="1" ref="R77" ca="1">ZKatzReduced($B77, R$69)</f>
        <v>#NAME?</v>
      </c>
    </row>
    <row r="78" spans="2:18" x14ac:dyDescent="0.45">
      <c r="B78" s="17">
        <f t="shared" si="13"/>
        <v>0.79999999999999993</v>
      </c>
      <c r="C78" s="8" t="e" cm="1">
        <f t="array" aca="1" ref="C78" ca="1">ZKatzReduced($B78, C$69)</f>
        <v>#NAME?</v>
      </c>
      <c r="D78" s="8" t="e" cm="1">
        <f t="array" aca="1" ref="D78" ca="1">ZKatzReduced($B78, D$69)</f>
        <v>#NAME?</v>
      </c>
      <c r="E78" s="8" t="e" cm="1">
        <f t="array" aca="1" ref="E78" ca="1">ZKatzReduced($B78, E$69)</f>
        <v>#NAME?</v>
      </c>
      <c r="F78" s="8" t="e" cm="1">
        <f t="array" aca="1" ref="F78" ca="1">ZKatzReduced($B78, F$69)</f>
        <v>#NAME?</v>
      </c>
      <c r="G78" s="8" t="e" cm="1">
        <f t="array" aca="1" ref="G78" ca="1">ZKatzReduced($B78, G$69)</f>
        <v>#NAME?</v>
      </c>
      <c r="H78" s="8" t="e" cm="1">
        <f t="array" aca="1" ref="H78" ca="1">ZKatzReduced($B78, H$69)</f>
        <v>#NAME?</v>
      </c>
      <c r="I78" s="8" t="e" cm="1">
        <f t="array" aca="1" ref="I78" ca="1">ZKatzReduced($B78, I$69)</f>
        <v>#NAME?</v>
      </c>
      <c r="J78" s="8" t="e" cm="1">
        <f t="array" aca="1" ref="J78" ca="1">ZKatzReduced($B78, J$69)</f>
        <v>#NAME?</v>
      </c>
      <c r="K78" s="8" t="e" cm="1">
        <f t="array" aca="1" ref="K78" ca="1">ZKatzReduced($B78, K$69)</f>
        <v>#NAME?</v>
      </c>
      <c r="L78" s="8" t="e" cm="1">
        <f t="array" aca="1" ref="L78" ca="1">ZKatzReduced($B78, L$69)</f>
        <v>#NAME?</v>
      </c>
      <c r="M78" s="8" t="e" cm="1">
        <f t="array" aca="1" ref="M78" ca="1">ZKatzReduced($B78, M$69)</f>
        <v>#NAME?</v>
      </c>
      <c r="N78" s="8" t="e" cm="1">
        <f t="array" aca="1" ref="N78" ca="1">ZKatzReduced($B78, N$69)</f>
        <v>#NAME?</v>
      </c>
      <c r="O78" s="8" t="e" cm="1">
        <f t="array" aca="1" ref="O78" ca="1">ZKatzReduced($B78, O$69)</f>
        <v>#NAME?</v>
      </c>
      <c r="P78" s="8" t="e" cm="1">
        <f t="array" aca="1" ref="P78" ca="1">ZKatzReduced($B78, P$69)</f>
        <v>#NAME?</v>
      </c>
      <c r="Q78" s="8" t="e" cm="1">
        <f t="array" aca="1" ref="Q78" ca="1">ZKatzReduced($B78, Q$69)</f>
        <v>#NAME?</v>
      </c>
      <c r="R78" s="8" t="e" cm="1">
        <f t="array" aca="1" ref="R78" ca="1">ZKatzReduced($B78, R$69)</f>
        <v>#NAME?</v>
      </c>
    </row>
    <row r="79" spans="2:18" x14ac:dyDescent="0.45">
      <c r="B79" s="17">
        <f t="shared" si="13"/>
        <v>0.89999999999999991</v>
      </c>
      <c r="C79" s="8" t="e" cm="1">
        <f t="array" aca="1" ref="C79" ca="1">ZKatzReduced($B79, C$69)</f>
        <v>#NAME?</v>
      </c>
      <c r="D79" s="8" t="e" cm="1">
        <f t="array" aca="1" ref="D79" ca="1">ZKatzReduced($B79, D$69)</f>
        <v>#NAME?</v>
      </c>
      <c r="E79" s="8" t="e" cm="1">
        <f t="array" aca="1" ref="E79" ca="1">ZKatzReduced($B79, E$69)</f>
        <v>#NAME?</v>
      </c>
      <c r="F79" s="8" t="e" cm="1">
        <f t="array" aca="1" ref="F79" ca="1">ZKatzReduced($B79, F$69)</f>
        <v>#NAME?</v>
      </c>
      <c r="G79" s="8" t="e" cm="1">
        <f t="array" aca="1" ref="G79" ca="1">ZKatzReduced($B79, G$69)</f>
        <v>#NAME?</v>
      </c>
      <c r="H79" s="8" t="e" cm="1">
        <f t="array" aca="1" ref="H79" ca="1">ZKatzReduced($B79, H$69)</f>
        <v>#NAME?</v>
      </c>
      <c r="I79" s="8" t="e" cm="1">
        <f t="array" aca="1" ref="I79" ca="1">ZKatzReduced($B79, I$69)</f>
        <v>#NAME?</v>
      </c>
      <c r="J79" s="8" t="e" cm="1">
        <f t="array" aca="1" ref="J79" ca="1">ZKatzReduced($B79, J$69)</f>
        <v>#NAME?</v>
      </c>
      <c r="K79" s="8" t="e" cm="1">
        <f t="array" aca="1" ref="K79" ca="1">ZKatzReduced($B79, K$69)</f>
        <v>#NAME?</v>
      </c>
      <c r="L79" s="8" t="e" cm="1">
        <f t="array" aca="1" ref="L79" ca="1">ZKatzReduced($B79, L$69)</f>
        <v>#NAME?</v>
      </c>
      <c r="M79" s="8" t="e" cm="1">
        <f t="array" aca="1" ref="M79" ca="1">ZKatzReduced($B79, M$69)</f>
        <v>#NAME?</v>
      </c>
      <c r="N79" s="8" t="e" cm="1">
        <f t="array" aca="1" ref="N79" ca="1">ZKatzReduced($B79, N$69)</f>
        <v>#NAME?</v>
      </c>
      <c r="O79" s="8" t="e" cm="1">
        <f t="array" aca="1" ref="O79" ca="1">ZKatzReduced($B79, O$69)</f>
        <v>#NAME?</v>
      </c>
      <c r="P79" s="8" t="e" cm="1">
        <f t="array" aca="1" ref="P79" ca="1">ZKatzReduced($B79, P$69)</f>
        <v>#NAME?</v>
      </c>
      <c r="Q79" s="8" t="e" cm="1">
        <f t="array" aca="1" ref="Q79" ca="1">ZKatzReduced($B79, Q$69)</f>
        <v>#NAME?</v>
      </c>
      <c r="R79" s="8" t="e" cm="1">
        <f t="array" aca="1" ref="R79" ca="1">ZKatzReduced($B79, R$69)</f>
        <v>#NAME?</v>
      </c>
    </row>
    <row r="80" spans="2:18" x14ac:dyDescent="0.45">
      <c r="B80" s="17">
        <f t="shared" si="13"/>
        <v>0.99999999999999989</v>
      </c>
      <c r="C80" s="8" t="e" cm="1">
        <f t="array" aca="1" ref="C80" ca="1">ZKatzReduced($B80, C$69)</f>
        <v>#NAME?</v>
      </c>
      <c r="D80" s="8" t="e" cm="1">
        <f t="array" aca="1" ref="D80" ca="1">ZKatzReduced($B80, D$69)</f>
        <v>#NAME?</v>
      </c>
      <c r="E80" s="8" t="e" cm="1">
        <f t="array" aca="1" ref="E80" ca="1">ZKatzReduced($B80, E$69)</f>
        <v>#NAME?</v>
      </c>
      <c r="F80" s="8" t="e" cm="1">
        <f t="array" aca="1" ref="F80" ca="1">ZKatzReduced($B80, F$69)</f>
        <v>#NAME?</v>
      </c>
      <c r="G80" s="8" t="e" cm="1">
        <f t="array" aca="1" ref="G80" ca="1">ZKatzReduced($B80, G$69)</f>
        <v>#NAME?</v>
      </c>
      <c r="H80" s="8" t="e" cm="1">
        <f t="array" aca="1" ref="H80" ca="1">ZKatzReduced($B80, H$69)</f>
        <v>#NAME?</v>
      </c>
      <c r="I80" s="8" t="e" cm="1">
        <f t="array" aca="1" ref="I80" ca="1">ZKatzReduced($B80, I$69)</f>
        <v>#NAME?</v>
      </c>
      <c r="J80" s="8" t="e" cm="1">
        <f t="array" aca="1" ref="J80" ca="1">ZKatzReduced($B80, J$69)</f>
        <v>#NAME?</v>
      </c>
      <c r="K80" s="8" t="e" cm="1">
        <f t="array" aca="1" ref="K80" ca="1">ZKatzReduced($B80, K$69)</f>
        <v>#NAME?</v>
      </c>
      <c r="L80" s="8" t="e" cm="1">
        <f t="array" aca="1" ref="L80" ca="1">ZKatzReduced($B80, L$69)</f>
        <v>#NAME?</v>
      </c>
      <c r="M80" s="8" t="e" cm="1">
        <f t="array" aca="1" ref="M80" ca="1">ZKatzReduced($B80, M$69)</f>
        <v>#NAME?</v>
      </c>
      <c r="N80" s="8" t="e" cm="1">
        <f t="array" aca="1" ref="N80" ca="1">ZKatzReduced($B80, N$69)</f>
        <v>#NAME?</v>
      </c>
      <c r="O80" s="8" t="e" cm="1">
        <f t="array" aca="1" ref="O80" ca="1">ZKatzReduced($B80, O$69)</f>
        <v>#NAME?</v>
      </c>
      <c r="P80" s="8" t="e" cm="1">
        <f t="array" aca="1" ref="P80" ca="1">ZKatzReduced($B80, P$69)</f>
        <v>#NAME?</v>
      </c>
      <c r="Q80" s="8" t="e" cm="1">
        <f t="array" aca="1" ref="Q80" ca="1">ZKatzReduced($B80, Q$69)</f>
        <v>#NAME?</v>
      </c>
      <c r="R80" s="8" t="e" cm="1">
        <f t="array" aca="1" ref="R80" ca="1">ZKatzReduced($B80, R$69)</f>
        <v>#NAME?</v>
      </c>
    </row>
    <row r="81" spans="2:18" x14ac:dyDescent="0.45">
      <c r="B81" s="17">
        <f t="shared" si="13"/>
        <v>1.0999999999999999</v>
      </c>
      <c r="C81" s="8" t="e" cm="1">
        <f t="array" aca="1" ref="C81" ca="1">ZKatzReduced($B81, C$69)</f>
        <v>#NAME?</v>
      </c>
      <c r="D81" s="8" t="e" cm="1">
        <f t="array" aca="1" ref="D81" ca="1">ZKatzReduced($B81, D$69)</f>
        <v>#NAME?</v>
      </c>
      <c r="E81" s="8" t="e" cm="1">
        <f t="array" aca="1" ref="E81" ca="1">ZKatzReduced($B81, E$69)</f>
        <v>#NAME?</v>
      </c>
      <c r="F81" s="8" t="e" cm="1">
        <f t="array" aca="1" ref="F81" ca="1">ZKatzReduced($B81, F$69)</f>
        <v>#NAME?</v>
      </c>
      <c r="G81" s="8" t="e" cm="1">
        <f t="array" aca="1" ref="G81" ca="1">ZKatzReduced($B81, G$69)</f>
        <v>#NAME?</v>
      </c>
      <c r="H81" s="8" t="e" cm="1">
        <f t="array" aca="1" ref="H81" ca="1">ZKatzReduced($B81, H$69)</f>
        <v>#NAME?</v>
      </c>
      <c r="I81" s="8" t="e" cm="1">
        <f t="array" aca="1" ref="I81" ca="1">ZKatzReduced($B81, I$69)</f>
        <v>#NAME?</v>
      </c>
      <c r="J81" s="8" t="e" cm="1">
        <f t="array" aca="1" ref="J81" ca="1">ZKatzReduced($B81, J$69)</f>
        <v>#NAME?</v>
      </c>
      <c r="K81" s="8" t="e" cm="1">
        <f t="array" aca="1" ref="K81" ca="1">ZKatzReduced($B81, K$69)</f>
        <v>#NAME?</v>
      </c>
      <c r="L81" s="8" t="e" cm="1">
        <f t="array" aca="1" ref="L81" ca="1">ZKatzReduced($B81, L$69)</f>
        <v>#NAME?</v>
      </c>
      <c r="M81" s="8" t="e" cm="1">
        <f t="array" aca="1" ref="M81" ca="1">ZKatzReduced($B81, M$69)</f>
        <v>#NAME?</v>
      </c>
      <c r="N81" s="8" t="e" cm="1">
        <f t="array" aca="1" ref="N81" ca="1">ZKatzReduced($B81, N$69)</f>
        <v>#NAME?</v>
      </c>
      <c r="O81" s="8" t="e" cm="1">
        <f t="array" aca="1" ref="O81" ca="1">ZKatzReduced($B81, O$69)</f>
        <v>#NAME?</v>
      </c>
      <c r="P81" s="8" t="e" cm="1">
        <f t="array" aca="1" ref="P81" ca="1">ZKatzReduced($B81, P$69)</f>
        <v>#NAME?</v>
      </c>
      <c r="Q81" s="8" t="e" cm="1">
        <f t="array" aca="1" ref="Q81" ca="1">ZKatzReduced($B81, Q$69)</f>
        <v>#NAME?</v>
      </c>
      <c r="R81" s="8" t="e" cm="1">
        <f t="array" aca="1" ref="R81" ca="1">ZKatzReduced($B81, R$69)</f>
        <v>#NAME?</v>
      </c>
    </row>
    <row r="82" spans="2:18" x14ac:dyDescent="0.45">
      <c r="B82" s="17">
        <f t="shared" si="13"/>
        <v>1.2</v>
      </c>
      <c r="C82" s="8" t="e" cm="1">
        <f t="array" aca="1" ref="C82" ca="1">ZKatzReduced($B82, C$69)</f>
        <v>#NAME?</v>
      </c>
      <c r="D82" s="8" t="e" cm="1">
        <f t="array" aca="1" ref="D82" ca="1">ZKatzReduced($B82, D$69)</f>
        <v>#NAME?</v>
      </c>
      <c r="E82" s="8" t="e" cm="1">
        <f t="array" aca="1" ref="E82" ca="1">ZKatzReduced($B82, E$69)</f>
        <v>#NAME?</v>
      </c>
      <c r="F82" s="8" t="e" cm="1">
        <f t="array" aca="1" ref="F82" ca="1">ZKatzReduced($B82, F$69)</f>
        <v>#NAME?</v>
      </c>
      <c r="G82" s="8" t="e" cm="1">
        <f t="array" aca="1" ref="G82" ca="1">ZKatzReduced($B82, G$69)</f>
        <v>#NAME?</v>
      </c>
      <c r="H82" s="8" t="e" cm="1">
        <f t="array" aca="1" ref="H82" ca="1">ZKatzReduced($B82, H$69)</f>
        <v>#NAME?</v>
      </c>
      <c r="I82" s="8" t="e" cm="1">
        <f t="array" aca="1" ref="I82" ca="1">ZKatzReduced($B82, I$69)</f>
        <v>#NAME?</v>
      </c>
      <c r="J82" s="8" t="e" cm="1">
        <f t="array" aca="1" ref="J82" ca="1">ZKatzReduced($B82, J$69)</f>
        <v>#NAME?</v>
      </c>
      <c r="K82" s="8" t="e" cm="1">
        <f t="array" aca="1" ref="K82" ca="1">ZKatzReduced($B82, K$69)</f>
        <v>#NAME?</v>
      </c>
      <c r="L82" s="8" t="e" cm="1">
        <f t="array" aca="1" ref="L82" ca="1">ZKatzReduced($B82, L$69)</f>
        <v>#NAME?</v>
      </c>
      <c r="M82" s="8" t="e" cm="1">
        <f t="array" aca="1" ref="M82" ca="1">ZKatzReduced($B82, M$69)</f>
        <v>#NAME?</v>
      </c>
      <c r="N82" s="8" t="e" cm="1">
        <f t="array" aca="1" ref="N82" ca="1">ZKatzReduced($B82, N$69)</f>
        <v>#NAME?</v>
      </c>
      <c r="O82" s="8" t="e" cm="1">
        <f t="array" aca="1" ref="O82" ca="1">ZKatzReduced($B82, O$69)</f>
        <v>#NAME?</v>
      </c>
      <c r="P82" s="8" t="e" cm="1">
        <f t="array" aca="1" ref="P82" ca="1">ZKatzReduced($B82, P$69)</f>
        <v>#NAME?</v>
      </c>
      <c r="Q82" s="8" t="e" cm="1">
        <f t="array" aca="1" ref="Q82" ca="1">ZKatzReduced($B82, Q$69)</f>
        <v>#NAME?</v>
      </c>
      <c r="R82" s="8" t="e" cm="1">
        <f t="array" aca="1" ref="R82" ca="1">ZKatzReduced($B82, R$69)</f>
        <v>#NAME?</v>
      </c>
    </row>
    <row r="83" spans="2:18" x14ac:dyDescent="0.45">
      <c r="B83" s="17">
        <f t="shared" si="13"/>
        <v>1.3</v>
      </c>
      <c r="C83" s="8" t="e" cm="1">
        <f t="array" aca="1" ref="C83" ca="1">ZKatzReduced($B83, C$69)</f>
        <v>#NAME?</v>
      </c>
      <c r="D83" s="8" t="e" cm="1">
        <f t="array" aca="1" ref="D83" ca="1">ZKatzReduced($B83, D$69)</f>
        <v>#NAME?</v>
      </c>
      <c r="E83" s="8" t="e" cm="1">
        <f t="array" aca="1" ref="E83" ca="1">ZKatzReduced($B83, E$69)</f>
        <v>#NAME?</v>
      </c>
      <c r="F83" s="8" t="e" cm="1">
        <f t="array" aca="1" ref="F83" ca="1">ZKatzReduced($B83, F$69)</f>
        <v>#NAME?</v>
      </c>
      <c r="G83" s="8" t="e" cm="1">
        <f t="array" aca="1" ref="G83" ca="1">ZKatzReduced($B83, G$69)</f>
        <v>#NAME?</v>
      </c>
      <c r="H83" s="8" t="e" cm="1">
        <f t="array" aca="1" ref="H83" ca="1">ZKatzReduced($B83, H$69)</f>
        <v>#NAME?</v>
      </c>
      <c r="I83" s="8" t="e" cm="1">
        <f t="array" aca="1" ref="I83" ca="1">ZKatzReduced($B83, I$69)</f>
        <v>#NAME?</v>
      </c>
      <c r="J83" s="8" t="e" cm="1">
        <f t="array" aca="1" ref="J83" ca="1">ZKatzReduced($B83, J$69)</f>
        <v>#NAME?</v>
      </c>
      <c r="K83" s="8" t="e" cm="1">
        <f t="array" aca="1" ref="K83" ca="1">ZKatzReduced($B83, K$69)</f>
        <v>#NAME?</v>
      </c>
      <c r="L83" s="8" t="e" cm="1">
        <f t="array" aca="1" ref="L83" ca="1">ZKatzReduced($B83, L$69)</f>
        <v>#NAME?</v>
      </c>
      <c r="M83" s="8" t="e" cm="1">
        <f t="array" aca="1" ref="M83" ca="1">ZKatzReduced($B83, M$69)</f>
        <v>#NAME?</v>
      </c>
      <c r="N83" s="8" t="e" cm="1">
        <f t="array" aca="1" ref="N83" ca="1">ZKatzReduced($B83, N$69)</f>
        <v>#NAME?</v>
      </c>
      <c r="O83" s="8" t="e" cm="1">
        <f t="array" aca="1" ref="O83" ca="1">ZKatzReduced($B83, O$69)</f>
        <v>#NAME?</v>
      </c>
      <c r="P83" s="8" t="e" cm="1">
        <f t="array" aca="1" ref="P83" ca="1">ZKatzReduced($B83, P$69)</f>
        <v>#NAME?</v>
      </c>
      <c r="Q83" s="8" t="e" cm="1">
        <f t="array" aca="1" ref="Q83" ca="1">ZKatzReduced($B83, Q$69)</f>
        <v>#NAME?</v>
      </c>
      <c r="R83" s="8" t="e" cm="1">
        <f t="array" aca="1" ref="R83" ca="1">ZKatzReduced($B83, R$69)</f>
        <v>#NAME?</v>
      </c>
    </row>
    <row r="84" spans="2:18" x14ac:dyDescent="0.45">
      <c r="B84" s="17">
        <f t="shared" si="13"/>
        <v>1.4000000000000001</v>
      </c>
      <c r="C84" s="8" t="e" cm="1">
        <f t="array" aca="1" ref="C84" ca="1">ZKatzReduced($B84, C$69)</f>
        <v>#NAME?</v>
      </c>
      <c r="D84" s="8" t="e" cm="1">
        <f t="array" aca="1" ref="D84" ca="1">ZKatzReduced($B84, D$69)</f>
        <v>#NAME?</v>
      </c>
      <c r="E84" s="8" t="e" cm="1">
        <f t="array" aca="1" ref="E84" ca="1">ZKatzReduced($B84, E$69)</f>
        <v>#NAME?</v>
      </c>
      <c r="F84" s="8" t="e" cm="1">
        <f t="array" aca="1" ref="F84" ca="1">ZKatzReduced($B84, F$69)</f>
        <v>#NAME?</v>
      </c>
      <c r="G84" s="8" t="e" cm="1">
        <f t="array" aca="1" ref="G84" ca="1">ZKatzReduced($B84, G$69)</f>
        <v>#NAME?</v>
      </c>
      <c r="H84" s="8" t="e" cm="1">
        <f t="array" aca="1" ref="H84" ca="1">ZKatzReduced($B84, H$69)</f>
        <v>#NAME?</v>
      </c>
      <c r="I84" s="8" t="e" cm="1">
        <f t="array" aca="1" ref="I84" ca="1">ZKatzReduced($B84, I$69)</f>
        <v>#NAME?</v>
      </c>
      <c r="J84" s="8" t="e" cm="1">
        <f t="array" aca="1" ref="J84" ca="1">ZKatzReduced($B84, J$69)</f>
        <v>#NAME?</v>
      </c>
      <c r="K84" s="8" t="e" cm="1">
        <f t="array" aca="1" ref="K84" ca="1">ZKatzReduced($B84, K$69)</f>
        <v>#NAME?</v>
      </c>
      <c r="L84" s="8" t="e" cm="1">
        <f t="array" aca="1" ref="L84" ca="1">ZKatzReduced($B84, L$69)</f>
        <v>#NAME?</v>
      </c>
      <c r="M84" s="8" t="e" cm="1">
        <f t="array" aca="1" ref="M84" ca="1">ZKatzReduced($B84, M$69)</f>
        <v>#NAME?</v>
      </c>
      <c r="N84" s="8" t="e" cm="1">
        <f t="array" aca="1" ref="N84" ca="1">ZKatzReduced($B84, N$69)</f>
        <v>#NAME?</v>
      </c>
      <c r="O84" s="8" t="e" cm="1">
        <f t="array" aca="1" ref="O84" ca="1">ZKatzReduced($B84, O$69)</f>
        <v>#NAME?</v>
      </c>
      <c r="P84" s="8" t="e" cm="1">
        <f t="array" aca="1" ref="P84" ca="1">ZKatzReduced($B84, P$69)</f>
        <v>#NAME?</v>
      </c>
      <c r="Q84" s="8" t="e" cm="1">
        <f t="array" aca="1" ref="Q84" ca="1">ZKatzReduced($B84, Q$69)</f>
        <v>#NAME?</v>
      </c>
      <c r="R84" s="8" t="e" cm="1">
        <f t="array" aca="1" ref="R84" ca="1">ZKatzReduced($B84, R$69)</f>
        <v>#NAME?</v>
      </c>
    </row>
    <row r="85" spans="2:18" x14ac:dyDescent="0.45">
      <c r="B85" s="17">
        <f t="shared" si="13"/>
        <v>1.5000000000000002</v>
      </c>
      <c r="C85" s="8" t="e" cm="1">
        <f t="array" aca="1" ref="C85" ca="1">ZKatzReduced($B85, C$69)</f>
        <v>#NAME?</v>
      </c>
      <c r="D85" s="8" t="e" cm="1">
        <f t="array" aca="1" ref="D85" ca="1">ZKatzReduced($B85, D$69)</f>
        <v>#NAME?</v>
      </c>
      <c r="E85" s="8" t="e" cm="1">
        <f t="array" aca="1" ref="E85" ca="1">ZKatzReduced($B85, E$69)</f>
        <v>#NAME?</v>
      </c>
      <c r="F85" s="8" t="e" cm="1">
        <f t="array" aca="1" ref="F85" ca="1">ZKatzReduced($B85, F$69)</f>
        <v>#NAME?</v>
      </c>
      <c r="G85" s="8" t="e" cm="1">
        <f t="array" aca="1" ref="G85" ca="1">ZKatzReduced($B85, G$69)</f>
        <v>#NAME?</v>
      </c>
      <c r="H85" s="8" t="e" cm="1">
        <f t="array" aca="1" ref="H85" ca="1">ZKatzReduced($B85, H$69)</f>
        <v>#NAME?</v>
      </c>
      <c r="I85" s="8" t="e" cm="1">
        <f t="array" aca="1" ref="I85" ca="1">ZKatzReduced($B85, I$69)</f>
        <v>#NAME?</v>
      </c>
      <c r="J85" s="8" t="e" cm="1">
        <f t="array" aca="1" ref="J85" ca="1">ZKatzReduced($B85, J$69)</f>
        <v>#NAME?</v>
      </c>
      <c r="K85" s="8" t="e" cm="1">
        <f t="array" aca="1" ref="K85" ca="1">ZKatzReduced($B85, K$69)</f>
        <v>#NAME?</v>
      </c>
      <c r="L85" s="8" t="e" cm="1">
        <f t="array" aca="1" ref="L85" ca="1">ZKatzReduced($B85, L$69)</f>
        <v>#NAME?</v>
      </c>
      <c r="M85" s="8" t="e" cm="1">
        <f t="array" aca="1" ref="M85" ca="1">ZKatzReduced($B85, M$69)</f>
        <v>#NAME?</v>
      </c>
      <c r="N85" s="8" t="e" cm="1">
        <f t="array" aca="1" ref="N85" ca="1">ZKatzReduced($B85, N$69)</f>
        <v>#NAME?</v>
      </c>
      <c r="O85" s="8" t="e" cm="1">
        <f t="array" aca="1" ref="O85" ca="1">ZKatzReduced($B85, O$69)</f>
        <v>#NAME?</v>
      </c>
      <c r="P85" s="8" t="e" cm="1">
        <f t="array" aca="1" ref="P85" ca="1">ZKatzReduced($B85, P$69)</f>
        <v>#NAME?</v>
      </c>
      <c r="Q85" s="8" t="e" cm="1">
        <f t="array" aca="1" ref="Q85" ca="1">ZKatzReduced($B85, Q$69)</f>
        <v>#NAME?</v>
      </c>
      <c r="R85" s="8" t="e" cm="1">
        <f t="array" aca="1" ref="R85" ca="1">ZKatzReduced($B85, R$69)</f>
        <v>#NAME?</v>
      </c>
    </row>
    <row r="86" spans="2:18" x14ac:dyDescent="0.45">
      <c r="B86" s="17">
        <f t="shared" si="13"/>
        <v>1.6000000000000003</v>
      </c>
      <c r="C86" s="8" t="e" cm="1">
        <f t="array" aca="1" ref="C86" ca="1">ZKatzReduced($B86, C$69)</f>
        <v>#NAME?</v>
      </c>
      <c r="D86" s="8" t="e" cm="1">
        <f t="array" aca="1" ref="D86" ca="1">ZKatzReduced($B86, D$69)</f>
        <v>#NAME?</v>
      </c>
      <c r="E86" s="8" t="e" cm="1">
        <f t="array" aca="1" ref="E86" ca="1">ZKatzReduced($B86, E$69)</f>
        <v>#NAME?</v>
      </c>
      <c r="F86" s="8" t="e" cm="1">
        <f t="array" aca="1" ref="F86" ca="1">ZKatzReduced($B86, F$69)</f>
        <v>#NAME?</v>
      </c>
      <c r="G86" s="8" t="e" cm="1">
        <f t="array" aca="1" ref="G86" ca="1">ZKatzReduced($B86, G$69)</f>
        <v>#NAME?</v>
      </c>
      <c r="H86" s="8" t="e" cm="1">
        <f t="array" aca="1" ref="H86" ca="1">ZKatzReduced($B86, H$69)</f>
        <v>#NAME?</v>
      </c>
      <c r="I86" s="8" t="e" cm="1">
        <f t="array" aca="1" ref="I86" ca="1">ZKatzReduced($B86, I$69)</f>
        <v>#NAME?</v>
      </c>
      <c r="J86" s="8" t="e" cm="1">
        <f t="array" aca="1" ref="J86" ca="1">ZKatzReduced($B86, J$69)</f>
        <v>#NAME?</v>
      </c>
      <c r="K86" s="8" t="e" cm="1">
        <f t="array" aca="1" ref="K86" ca="1">ZKatzReduced($B86, K$69)</f>
        <v>#NAME?</v>
      </c>
      <c r="L86" s="8" t="e" cm="1">
        <f t="array" aca="1" ref="L86" ca="1">ZKatzReduced($B86, L$69)</f>
        <v>#NAME?</v>
      </c>
      <c r="M86" s="8" t="e" cm="1">
        <f t="array" aca="1" ref="M86" ca="1">ZKatzReduced($B86, M$69)</f>
        <v>#NAME?</v>
      </c>
      <c r="N86" s="8" t="e" cm="1">
        <f t="array" aca="1" ref="N86" ca="1">ZKatzReduced($B86, N$69)</f>
        <v>#NAME?</v>
      </c>
      <c r="O86" s="8" t="e" cm="1">
        <f t="array" aca="1" ref="O86" ca="1">ZKatzReduced($B86, O$69)</f>
        <v>#NAME?</v>
      </c>
      <c r="P86" s="8" t="e" cm="1">
        <f t="array" aca="1" ref="P86" ca="1">ZKatzReduced($B86, P$69)</f>
        <v>#NAME?</v>
      </c>
      <c r="Q86" s="8" t="e" cm="1">
        <f t="array" aca="1" ref="Q86" ca="1">ZKatzReduced($B86, Q$69)</f>
        <v>#NAME?</v>
      </c>
      <c r="R86" s="8" t="e" cm="1">
        <f t="array" aca="1" ref="R86" ca="1">ZKatzReduced($B86, R$69)</f>
        <v>#NAME?</v>
      </c>
    </row>
    <row r="87" spans="2:18" x14ac:dyDescent="0.45">
      <c r="B87" s="17">
        <f t="shared" si="13"/>
        <v>1.7000000000000004</v>
      </c>
      <c r="C87" s="8" t="e" cm="1">
        <f t="array" aca="1" ref="C87" ca="1">ZKatzReduced($B87, C$69)</f>
        <v>#NAME?</v>
      </c>
      <c r="D87" s="8" t="e" cm="1">
        <f t="array" aca="1" ref="D87" ca="1">ZKatzReduced($B87, D$69)</f>
        <v>#NAME?</v>
      </c>
      <c r="E87" s="8" t="e" cm="1">
        <f t="array" aca="1" ref="E87" ca="1">ZKatzReduced($B87, E$69)</f>
        <v>#NAME?</v>
      </c>
      <c r="F87" s="8" t="e" cm="1">
        <f t="array" aca="1" ref="F87" ca="1">ZKatzReduced($B87, F$69)</f>
        <v>#NAME?</v>
      </c>
      <c r="G87" s="8" t="e" cm="1">
        <f t="array" aca="1" ref="G87" ca="1">ZKatzReduced($B87, G$69)</f>
        <v>#NAME?</v>
      </c>
      <c r="H87" s="8" t="e" cm="1">
        <f t="array" aca="1" ref="H87" ca="1">ZKatzReduced($B87, H$69)</f>
        <v>#NAME?</v>
      </c>
      <c r="I87" s="8" t="e" cm="1">
        <f t="array" aca="1" ref="I87" ca="1">ZKatzReduced($B87, I$69)</f>
        <v>#NAME?</v>
      </c>
      <c r="J87" s="8" t="e" cm="1">
        <f t="array" aca="1" ref="J87" ca="1">ZKatzReduced($B87, J$69)</f>
        <v>#NAME?</v>
      </c>
      <c r="K87" s="8" t="e" cm="1">
        <f t="array" aca="1" ref="K87" ca="1">ZKatzReduced($B87, K$69)</f>
        <v>#NAME?</v>
      </c>
      <c r="L87" s="8" t="e" cm="1">
        <f t="array" aca="1" ref="L87" ca="1">ZKatzReduced($B87, L$69)</f>
        <v>#NAME?</v>
      </c>
      <c r="M87" s="8" t="e" cm="1">
        <f t="array" aca="1" ref="M87" ca="1">ZKatzReduced($B87, M$69)</f>
        <v>#NAME?</v>
      </c>
      <c r="N87" s="8" t="e" cm="1">
        <f t="array" aca="1" ref="N87" ca="1">ZKatzReduced($B87, N$69)</f>
        <v>#NAME?</v>
      </c>
      <c r="O87" s="8" t="e" cm="1">
        <f t="array" aca="1" ref="O87" ca="1">ZKatzReduced($B87, O$69)</f>
        <v>#NAME?</v>
      </c>
      <c r="P87" s="8" t="e" cm="1">
        <f t="array" aca="1" ref="P87" ca="1">ZKatzReduced($B87, P$69)</f>
        <v>#NAME?</v>
      </c>
      <c r="Q87" s="8" t="e" cm="1">
        <f t="array" aca="1" ref="Q87" ca="1">ZKatzReduced($B87, Q$69)</f>
        <v>#NAME?</v>
      </c>
      <c r="R87" s="8" t="e" cm="1">
        <f t="array" aca="1" ref="R87" ca="1">ZKatzReduced($B87, R$69)</f>
        <v>#NAME?</v>
      </c>
    </row>
    <row r="88" spans="2:18" x14ac:dyDescent="0.45">
      <c r="B88" s="17">
        <f t="shared" si="13"/>
        <v>1.8000000000000005</v>
      </c>
      <c r="C88" s="8" t="e" cm="1">
        <f t="array" aca="1" ref="C88" ca="1">ZKatzReduced($B88, C$69)</f>
        <v>#NAME?</v>
      </c>
      <c r="D88" s="8" t="e" cm="1">
        <f t="array" aca="1" ref="D88" ca="1">ZKatzReduced($B88, D$69)</f>
        <v>#NAME?</v>
      </c>
      <c r="E88" s="8" t="e" cm="1">
        <f t="array" aca="1" ref="E88" ca="1">ZKatzReduced($B88, E$69)</f>
        <v>#NAME?</v>
      </c>
      <c r="F88" s="8" t="e" cm="1">
        <f t="array" aca="1" ref="F88" ca="1">ZKatzReduced($B88, F$69)</f>
        <v>#NAME?</v>
      </c>
      <c r="G88" s="8" t="e" cm="1">
        <f t="array" aca="1" ref="G88" ca="1">ZKatzReduced($B88, G$69)</f>
        <v>#NAME?</v>
      </c>
      <c r="H88" s="8" t="e" cm="1">
        <f t="array" aca="1" ref="H88" ca="1">ZKatzReduced($B88, H$69)</f>
        <v>#NAME?</v>
      </c>
      <c r="I88" s="8" t="e" cm="1">
        <f t="array" aca="1" ref="I88" ca="1">ZKatzReduced($B88, I$69)</f>
        <v>#NAME?</v>
      </c>
      <c r="J88" s="8" t="e" cm="1">
        <f t="array" aca="1" ref="J88" ca="1">ZKatzReduced($B88, J$69)</f>
        <v>#NAME?</v>
      </c>
      <c r="K88" s="8" t="e" cm="1">
        <f t="array" aca="1" ref="K88" ca="1">ZKatzReduced($B88, K$69)</f>
        <v>#NAME?</v>
      </c>
      <c r="L88" s="8" t="e" cm="1">
        <f t="array" aca="1" ref="L88" ca="1">ZKatzReduced($B88, L$69)</f>
        <v>#NAME?</v>
      </c>
      <c r="M88" s="8" t="e" cm="1">
        <f t="array" aca="1" ref="M88" ca="1">ZKatzReduced($B88, M$69)</f>
        <v>#NAME?</v>
      </c>
      <c r="N88" s="8" t="e" cm="1">
        <f t="array" aca="1" ref="N88" ca="1">ZKatzReduced($B88, N$69)</f>
        <v>#NAME?</v>
      </c>
      <c r="O88" s="8" t="e" cm="1">
        <f t="array" aca="1" ref="O88" ca="1">ZKatzReduced($B88, O$69)</f>
        <v>#NAME?</v>
      </c>
      <c r="P88" s="8" t="e" cm="1">
        <f t="array" aca="1" ref="P88" ca="1">ZKatzReduced($B88, P$69)</f>
        <v>#NAME?</v>
      </c>
      <c r="Q88" s="8" t="e" cm="1">
        <f t="array" aca="1" ref="Q88" ca="1">ZKatzReduced($B88, Q$69)</f>
        <v>#NAME?</v>
      </c>
      <c r="R88" s="8" t="e" cm="1">
        <f t="array" aca="1" ref="R88" ca="1">ZKatzReduced($B88, R$69)</f>
        <v>#NAME?</v>
      </c>
    </row>
    <row r="89" spans="2:18" x14ac:dyDescent="0.45">
      <c r="B89" s="17">
        <f t="shared" si="13"/>
        <v>1.9000000000000006</v>
      </c>
      <c r="C89" s="8" t="e" cm="1">
        <f t="array" aca="1" ref="C89" ca="1">ZKatzReduced($B89, C$69)</f>
        <v>#NAME?</v>
      </c>
      <c r="D89" s="8" t="e" cm="1">
        <f t="array" aca="1" ref="D89" ca="1">ZKatzReduced($B89, D$69)</f>
        <v>#NAME?</v>
      </c>
      <c r="E89" s="8" t="e" cm="1">
        <f t="array" aca="1" ref="E89" ca="1">ZKatzReduced($B89, E$69)</f>
        <v>#NAME?</v>
      </c>
      <c r="F89" s="8" t="e" cm="1">
        <f t="array" aca="1" ref="F89" ca="1">ZKatzReduced($B89, F$69)</f>
        <v>#NAME?</v>
      </c>
      <c r="G89" s="8" t="e" cm="1">
        <f t="array" aca="1" ref="G89" ca="1">ZKatzReduced($B89, G$69)</f>
        <v>#NAME?</v>
      </c>
      <c r="H89" s="8" t="e" cm="1">
        <f t="array" aca="1" ref="H89" ca="1">ZKatzReduced($B89, H$69)</f>
        <v>#NAME?</v>
      </c>
      <c r="I89" s="8" t="e" cm="1">
        <f t="array" aca="1" ref="I89" ca="1">ZKatzReduced($B89, I$69)</f>
        <v>#NAME?</v>
      </c>
      <c r="J89" s="8" t="e" cm="1">
        <f t="array" aca="1" ref="J89" ca="1">ZKatzReduced($B89, J$69)</f>
        <v>#NAME?</v>
      </c>
      <c r="K89" s="8" t="e" cm="1">
        <f t="array" aca="1" ref="K89" ca="1">ZKatzReduced($B89, K$69)</f>
        <v>#NAME?</v>
      </c>
      <c r="L89" s="8" t="e" cm="1">
        <f t="array" aca="1" ref="L89" ca="1">ZKatzReduced($B89, L$69)</f>
        <v>#NAME?</v>
      </c>
      <c r="M89" s="8" t="e" cm="1">
        <f t="array" aca="1" ref="M89" ca="1">ZKatzReduced($B89, M$69)</f>
        <v>#NAME?</v>
      </c>
      <c r="N89" s="8" t="e" cm="1">
        <f t="array" aca="1" ref="N89" ca="1">ZKatzReduced($B89, N$69)</f>
        <v>#NAME?</v>
      </c>
      <c r="O89" s="8" t="e" cm="1">
        <f t="array" aca="1" ref="O89" ca="1">ZKatzReduced($B89, O$69)</f>
        <v>#NAME?</v>
      </c>
      <c r="P89" s="8" t="e" cm="1">
        <f t="array" aca="1" ref="P89" ca="1">ZKatzReduced($B89, P$69)</f>
        <v>#NAME?</v>
      </c>
      <c r="Q89" s="8" t="e" cm="1">
        <f t="array" aca="1" ref="Q89" ca="1">ZKatzReduced($B89, Q$69)</f>
        <v>#NAME?</v>
      </c>
      <c r="R89" s="8" t="e" cm="1">
        <f t="array" aca="1" ref="R89" ca="1">ZKatzReduced($B89, R$69)</f>
        <v>#NAME?</v>
      </c>
    </row>
    <row r="90" spans="2:18" x14ac:dyDescent="0.45">
      <c r="B90" s="17">
        <f t="shared" si="13"/>
        <v>2.0000000000000004</v>
      </c>
      <c r="C90" s="8" t="e" cm="1">
        <f t="array" aca="1" ref="C90" ca="1">ZKatzReduced($B90, C$69)</f>
        <v>#NAME?</v>
      </c>
      <c r="D90" s="8" t="e" cm="1">
        <f t="array" aca="1" ref="D90" ca="1">ZKatzReduced($B90, D$69)</f>
        <v>#NAME?</v>
      </c>
      <c r="E90" s="8" t="e" cm="1">
        <f t="array" aca="1" ref="E90" ca="1">ZKatzReduced($B90, E$69)</f>
        <v>#NAME?</v>
      </c>
      <c r="F90" s="8" t="e" cm="1">
        <f t="array" aca="1" ref="F90" ca="1">ZKatzReduced($B90, F$69)</f>
        <v>#NAME?</v>
      </c>
      <c r="G90" s="8" t="e" cm="1">
        <f t="array" aca="1" ref="G90" ca="1">ZKatzReduced($B90, G$69)</f>
        <v>#NAME?</v>
      </c>
      <c r="H90" s="8" t="e" cm="1">
        <f t="array" aca="1" ref="H90" ca="1">ZKatzReduced($B90, H$69)</f>
        <v>#NAME?</v>
      </c>
      <c r="I90" s="8" t="e" cm="1">
        <f t="array" aca="1" ref="I90" ca="1">ZKatzReduced($B90, I$69)</f>
        <v>#NAME?</v>
      </c>
      <c r="J90" s="8" t="e" cm="1">
        <f t="array" aca="1" ref="J90" ca="1">ZKatzReduced($B90, J$69)</f>
        <v>#NAME?</v>
      </c>
      <c r="K90" s="8" t="e" cm="1">
        <f t="array" aca="1" ref="K90" ca="1">ZKatzReduced($B90, K$69)</f>
        <v>#NAME?</v>
      </c>
      <c r="L90" s="8" t="e" cm="1">
        <f t="array" aca="1" ref="L90" ca="1">ZKatzReduced($B90, L$69)</f>
        <v>#NAME?</v>
      </c>
      <c r="M90" s="8" t="e" cm="1">
        <f t="array" aca="1" ref="M90" ca="1">ZKatzReduced($B90, M$69)</f>
        <v>#NAME?</v>
      </c>
      <c r="N90" s="8" t="e" cm="1">
        <f t="array" aca="1" ref="N90" ca="1">ZKatzReduced($B90, N$69)</f>
        <v>#NAME?</v>
      </c>
      <c r="O90" s="8" t="e" cm="1">
        <f t="array" aca="1" ref="O90" ca="1">ZKatzReduced($B90, O$69)</f>
        <v>#NAME?</v>
      </c>
      <c r="P90" s="8" t="e" cm="1">
        <f t="array" aca="1" ref="P90" ca="1">ZKatzReduced($B90, P$69)</f>
        <v>#NAME?</v>
      </c>
      <c r="Q90" s="8" t="e" cm="1">
        <f t="array" aca="1" ref="Q90" ca="1">ZKatzReduced($B90, Q$69)</f>
        <v>#NAME?</v>
      </c>
      <c r="R90" s="8" t="e" cm="1">
        <f t="array" aca="1" ref="R90" ca="1">ZKatzReduced($B90, R$69)</f>
        <v>#NAME?</v>
      </c>
    </row>
    <row r="91" spans="2:18" x14ac:dyDescent="0.45">
      <c r="B91" s="17">
        <f t="shared" si="13"/>
        <v>2.1000000000000005</v>
      </c>
      <c r="C91" s="8" t="e" cm="1">
        <f t="array" aca="1" ref="C91" ca="1">ZKatzReduced($B91, C$69)</f>
        <v>#NAME?</v>
      </c>
      <c r="D91" s="8" t="e" cm="1">
        <f t="array" aca="1" ref="D91" ca="1">ZKatzReduced($B91, D$69)</f>
        <v>#NAME?</v>
      </c>
      <c r="E91" s="8" t="e" cm="1">
        <f t="array" aca="1" ref="E91" ca="1">ZKatzReduced($B91, E$69)</f>
        <v>#NAME?</v>
      </c>
      <c r="F91" s="8" t="e" cm="1">
        <f t="array" aca="1" ref="F91" ca="1">ZKatzReduced($B91, F$69)</f>
        <v>#NAME?</v>
      </c>
      <c r="G91" s="8" t="e" cm="1">
        <f t="array" aca="1" ref="G91" ca="1">ZKatzReduced($B91, G$69)</f>
        <v>#NAME?</v>
      </c>
      <c r="H91" s="8" t="e" cm="1">
        <f t="array" aca="1" ref="H91" ca="1">ZKatzReduced($B91, H$69)</f>
        <v>#NAME?</v>
      </c>
      <c r="I91" s="8" t="e" cm="1">
        <f t="array" aca="1" ref="I91" ca="1">ZKatzReduced($B91, I$69)</f>
        <v>#NAME?</v>
      </c>
      <c r="J91" s="8" t="e" cm="1">
        <f t="array" aca="1" ref="J91" ca="1">ZKatzReduced($B91, J$69)</f>
        <v>#NAME?</v>
      </c>
      <c r="K91" s="8" t="e" cm="1">
        <f t="array" aca="1" ref="K91" ca="1">ZKatzReduced($B91, K$69)</f>
        <v>#NAME?</v>
      </c>
      <c r="L91" s="8" t="e" cm="1">
        <f t="array" aca="1" ref="L91" ca="1">ZKatzReduced($B91, L$69)</f>
        <v>#NAME?</v>
      </c>
      <c r="M91" s="8" t="e" cm="1">
        <f t="array" aca="1" ref="M91" ca="1">ZKatzReduced($B91, M$69)</f>
        <v>#NAME?</v>
      </c>
      <c r="N91" s="8" t="e" cm="1">
        <f t="array" aca="1" ref="N91" ca="1">ZKatzReduced($B91, N$69)</f>
        <v>#NAME?</v>
      </c>
      <c r="O91" s="8" t="e" cm="1">
        <f t="array" aca="1" ref="O91" ca="1">ZKatzReduced($B91, O$69)</f>
        <v>#NAME?</v>
      </c>
      <c r="P91" s="8" t="e" cm="1">
        <f t="array" aca="1" ref="P91" ca="1">ZKatzReduced($B91, P$69)</f>
        <v>#NAME?</v>
      </c>
      <c r="Q91" s="8" t="e" cm="1">
        <f t="array" aca="1" ref="Q91" ca="1">ZKatzReduced($B91, Q$69)</f>
        <v>#NAME?</v>
      </c>
      <c r="R91" s="8" t="e" cm="1">
        <f t="array" aca="1" ref="R91" ca="1">ZKatzReduced($B91, R$69)</f>
        <v>#NAME?</v>
      </c>
    </row>
    <row r="92" spans="2:18" x14ac:dyDescent="0.45">
      <c r="B92" s="17">
        <f t="shared" si="13"/>
        <v>2.2000000000000006</v>
      </c>
      <c r="C92" s="8" t="e" cm="1">
        <f t="array" aca="1" ref="C92" ca="1">ZKatzReduced($B92, C$69)</f>
        <v>#NAME?</v>
      </c>
      <c r="D92" s="8" t="e" cm="1">
        <f t="array" aca="1" ref="D92" ca="1">ZKatzReduced($B92, D$69)</f>
        <v>#NAME?</v>
      </c>
      <c r="E92" s="8" t="e" cm="1">
        <f t="array" aca="1" ref="E92" ca="1">ZKatzReduced($B92, E$69)</f>
        <v>#NAME?</v>
      </c>
      <c r="F92" s="8" t="e" cm="1">
        <f t="array" aca="1" ref="F92" ca="1">ZKatzReduced($B92, F$69)</f>
        <v>#NAME?</v>
      </c>
      <c r="G92" s="8" t="e" cm="1">
        <f t="array" aca="1" ref="G92" ca="1">ZKatzReduced($B92, G$69)</f>
        <v>#NAME?</v>
      </c>
      <c r="H92" s="8" t="e" cm="1">
        <f t="array" aca="1" ref="H92" ca="1">ZKatzReduced($B92, H$69)</f>
        <v>#NAME?</v>
      </c>
      <c r="I92" s="8" t="e" cm="1">
        <f t="array" aca="1" ref="I92" ca="1">ZKatzReduced($B92, I$69)</f>
        <v>#NAME?</v>
      </c>
      <c r="J92" s="8" t="e" cm="1">
        <f t="array" aca="1" ref="J92" ca="1">ZKatzReduced($B92, J$69)</f>
        <v>#NAME?</v>
      </c>
      <c r="K92" s="8" t="e" cm="1">
        <f t="array" aca="1" ref="K92" ca="1">ZKatzReduced($B92, K$69)</f>
        <v>#NAME?</v>
      </c>
      <c r="L92" s="8" t="e" cm="1">
        <f t="array" aca="1" ref="L92" ca="1">ZKatzReduced($B92, L$69)</f>
        <v>#NAME?</v>
      </c>
      <c r="M92" s="8" t="e" cm="1">
        <f t="array" aca="1" ref="M92" ca="1">ZKatzReduced($B92, M$69)</f>
        <v>#NAME?</v>
      </c>
      <c r="N92" s="8" t="e" cm="1">
        <f t="array" aca="1" ref="N92" ca="1">ZKatzReduced($B92, N$69)</f>
        <v>#NAME?</v>
      </c>
      <c r="O92" s="8" t="e" cm="1">
        <f t="array" aca="1" ref="O92" ca="1">ZKatzReduced($B92, O$69)</f>
        <v>#NAME?</v>
      </c>
      <c r="P92" s="8" t="e" cm="1">
        <f t="array" aca="1" ref="P92" ca="1">ZKatzReduced($B92, P$69)</f>
        <v>#NAME?</v>
      </c>
      <c r="Q92" s="8" t="e" cm="1">
        <f t="array" aca="1" ref="Q92" ca="1">ZKatzReduced($B92, Q$69)</f>
        <v>#NAME?</v>
      </c>
      <c r="R92" s="8" t="e" cm="1">
        <f t="array" aca="1" ref="R92" ca="1">ZKatzReduced($B92, R$69)</f>
        <v>#NAME?</v>
      </c>
    </row>
    <row r="93" spans="2:18" x14ac:dyDescent="0.45">
      <c r="B93" s="17">
        <f t="shared" si="13"/>
        <v>2.3000000000000007</v>
      </c>
      <c r="C93" s="8" t="e" cm="1">
        <f t="array" aca="1" ref="C93" ca="1">ZKatzReduced($B93, C$69)</f>
        <v>#NAME?</v>
      </c>
      <c r="D93" s="8" t="e" cm="1">
        <f t="array" aca="1" ref="D93" ca="1">ZKatzReduced($B93, D$69)</f>
        <v>#NAME?</v>
      </c>
      <c r="E93" s="8" t="e" cm="1">
        <f t="array" aca="1" ref="E93" ca="1">ZKatzReduced($B93, E$69)</f>
        <v>#NAME?</v>
      </c>
      <c r="F93" s="8" t="e" cm="1">
        <f t="array" aca="1" ref="F93" ca="1">ZKatzReduced($B93, F$69)</f>
        <v>#NAME?</v>
      </c>
      <c r="G93" s="8" t="e" cm="1">
        <f t="array" aca="1" ref="G93" ca="1">ZKatzReduced($B93, G$69)</f>
        <v>#NAME?</v>
      </c>
      <c r="H93" s="8" t="e" cm="1">
        <f t="array" aca="1" ref="H93" ca="1">ZKatzReduced($B93, H$69)</f>
        <v>#NAME?</v>
      </c>
      <c r="I93" s="8" t="e" cm="1">
        <f t="array" aca="1" ref="I93" ca="1">ZKatzReduced($B93, I$69)</f>
        <v>#NAME?</v>
      </c>
      <c r="J93" s="8" t="e" cm="1">
        <f t="array" aca="1" ref="J93" ca="1">ZKatzReduced($B93, J$69)</f>
        <v>#NAME?</v>
      </c>
      <c r="K93" s="8" t="e" cm="1">
        <f t="array" aca="1" ref="K93" ca="1">ZKatzReduced($B93, K$69)</f>
        <v>#NAME?</v>
      </c>
      <c r="L93" s="8" t="e" cm="1">
        <f t="array" aca="1" ref="L93" ca="1">ZKatzReduced($B93, L$69)</f>
        <v>#NAME?</v>
      </c>
      <c r="M93" s="8" t="e" cm="1">
        <f t="array" aca="1" ref="M93" ca="1">ZKatzReduced($B93, M$69)</f>
        <v>#NAME?</v>
      </c>
      <c r="N93" s="8" t="e" cm="1">
        <f t="array" aca="1" ref="N93" ca="1">ZKatzReduced($B93, N$69)</f>
        <v>#NAME?</v>
      </c>
      <c r="O93" s="8" t="e" cm="1">
        <f t="array" aca="1" ref="O93" ca="1">ZKatzReduced($B93, O$69)</f>
        <v>#NAME?</v>
      </c>
      <c r="P93" s="8" t="e" cm="1">
        <f t="array" aca="1" ref="P93" ca="1">ZKatzReduced($B93, P$69)</f>
        <v>#NAME?</v>
      </c>
      <c r="Q93" s="8" t="e" cm="1">
        <f t="array" aca="1" ref="Q93" ca="1">ZKatzReduced($B93, Q$69)</f>
        <v>#NAME?</v>
      </c>
      <c r="R93" s="8" t="e" cm="1">
        <f t="array" aca="1" ref="R93" ca="1">ZKatzReduced($B93, R$69)</f>
        <v>#NAME?</v>
      </c>
    </row>
    <row r="94" spans="2:18" x14ac:dyDescent="0.45">
      <c r="B94" s="17">
        <f t="shared" si="13"/>
        <v>2.4000000000000008</v>
      </c>
      <c r="C94" s="8" t="e" cm="1">
        <f t="array" aca="1" ref="C94" ca="1">ZKatzReduced($B94, C$69)</f>
        <v>#NAME?</v>
      </c>
      <c r="D94" s="8" t="e" cm="1">
        <f t="array" aca="1" ref="D94" ca="1">ZKatzReduced($B94, D$69)</f>
        <v>#NAME?</v>
      </c>
      <c r="E94" s="8" t="e" cm="1">
        <f t="array" aca="1" ref="E94" ca="1">ZKatzReduced($B94, E$69)</f>
        <v>#NAME?</v>
      </c>
      <c r="F94" s="8" t="e" cm="1">
        <f t="array" aca="1" ref="F94" ca="1">ZKatzReduced($B94, F$69)</f>
        <v>#NAME?</v>
      </c>
      <c r="G94" s="8" t="e" cm="1">
        <f t="array" aca="1" ref="G94" ca="1">ZKatzReduced($B94, G$69)</f>
        <v>#NAME?</v>
      </c>
      <c r="H94" s="8" t="e" cm="1">
        <f t="array" aca="1" ref="H94" ca="1">ZKatzReduced($B94, H$69)</f>
        <v>#NAME?</v>
      </c>
      <c r="I94" s="8" t="e" cm="1">
        <f t="array" aca="1" ref="I94" ca="1">ZKatzReduced($B94, I$69)</f>
        <v>#NAME?</v>
      </c>
      <c r="J94" s="8" t="e" cm="1">
        <f t="array" aca="1" ref="J94" ca="1">ZKatzReduced($B94, J$69)</f>
        <v>#NAME?</v>
      </c>
      <c r="K94" s="8" t="e" cm="1">
        <f t="array" aca="1" ref="K94" ca="1">ZKatzReduced($B94, K$69)</f>
        <v>#NAME?</v>
      </c>
      <c r="L94" s="8" t="e" cm="1">
        <f t="array" aca="1" ref="L94" ca="1">ZKatzReduced($B94, L$69)</f>
        <v>#NAME?</v>
      </c>
      <c r="M94" s="8" t="e" cm="1">
        <f t="array" aca="1" ref="M94" ca="1">ZKatzReduced($B94, M$69)</f>
        <v>#NAME?</v>
      </c>
      <c r="N94" s="8" t="e" cm="1">
        <f t="array" aca="1" ref="N94" ca="1">ZKatzReduced($B94, N$69)</f>
        <v>#NAME?</v>
      </c>
      <c r="O94" s="8" t="e" cm="1">
        <f t="array" aca="1" ref="O94" ca="1">ZKatzReduced($B94, O$69)</f>
        <v>#NAME?</v>
      </c>
      <c r="P94" s="8" t="e" cm="1">
        <f t="array" aca="1" ref="P94" ca="1">ZKatzReduced($B94, P$69)</f>
        <v>#NAME?</v>
      </c>
      <c r="Q94" s="8" t="e" cm="1">
        <f t="array" aca="1" ref="Q94" ca="1">ZKatzReduced($B94, Q$69)</f>
        <v>#NAME?</v>
      </c>
      <c r="R94" s="8" t="e" cm="1">
        <f t="array" aca="1" ref="R94" ca="1">ZKatzReduced($B94, R$69)</f>
        <v>#NAME?</v>
      </c>
    </row>
    <row r="95" spans="2:18" x14ac:dyDescent="0.45">
      <c r="B95" s="17">
        <f t="shared" si="13"/>
        <v>2.5000000000000009</v>
      </c>
      <c r="C95" s="8" t="e" cm="1">
        <f t="array" aca="1" ref="C95" ca="1">ZKatzReduced($B95, C$69)</f>
        <v>#NAME?</v>
      </c>
      <c r="D95" s="8" t="e" cm="1">
        <f t="array" aca="1" ref="D95" ca="1">ZKatzReduced($B95, D$69)</f>
        <v>#NAME?</v>
      </c>
      <c r="E95" s="8" t="e" cm="1">
        <f t="array" aca="1" ref="E95" ca="1">ZKatzReduced($B95, E$69)</f>
        <v>#NAME?</v>
      </c>
      <c r="F95" s="8" t="e" cm="1">
        <f t="array" aca="1" ref="F95" ca="1">ZKatzReduced($B95, F$69)</f>
        <v>#NAME?</v>
      </c>
      <c r="G95" s="8" t="e" cm="1">
        <f t="array" aca="1" ref="G95" ca="1">ZKatzReduced($B95, G$69)</f>
        <v>#NAME?</v>
      </c>
      <c r="H95" s="8" t="e" cm="1">
        <f t="array" aca="1" ref="H95" ca="1">ZKatzReduced($B95, H$69)</f>
        <v>#NAME?</v>
      </c>
      <c r="I95" s="8" t="e" cm="1">
        <f t="array" aca="1" ref="I95" ca="1">ZKatzReduced($B95, I$69)</f>
        <v>#NAME?</v>
      </c>
      <c r="J95" s="8" t="e" cm="1">
        <f t="array" aca="1" ref="J95" ca="1">ZKatzReduced($B95, J$69)</f>
        <v>#NAME?</v>
      </c>
      <c r="K95" s="8" t="e" cm="1">
        <f t="array" aca="1" ref="K95" ca="1">ZKatzReduced($B95, K$69)</f>
        <v>#NAME?</v>
      </c>
      <c r="L95" s="8" t="e" cm="1">
        <f t="array" aca="1" ref="L95" ca="1">ZKatzReduced($B95, L$69)</f>
        <v>#NAME?</v>
      </c>
      <c r="M95" s="8" t="e" cm="1">
        <f t="array" aca="1" ref="M95" ca="1">ZKatzReduced($B95, M$69)</f>
        <v>#NAME?</v>
      </c>
      <c r="N95" s="8" t="e" cm="1">
        <f t="array" aca="1" ref="N95" ca="1">ZKatzReduced($B95, N$69)</f>
        <v>#NAME?</v>
      </c>
      <c r="O95" s="8" t="e" cm="1">
        <f t="array" aca="1" ref="O95" ca="1">ZKatzReduced($B95, O$69)</f>
        <v>#NAME?</v>
      </c>
      <c r="P95" s="8" t="e" cm="1">
        <f t="array" aca="1" ref="P95" ca="1">ZKatzReduced($B95, P$69)</f>
        <v>#NAME?</v>
      </c>
      <c r="Q95" s="8" t="e" cm="1">
        <f t="array" aca="1" ref="Q95" ca="1">ZKatzReduced($B95, Q$69)</f>
        <v>#NAME?</v>
      </c>
      <c r="R95" s="8" t="e" cm="1">
        <f t="array" aca="1" ref="R95" ca="1">ZKatzReduced($B95, R$69)</f>
        <v>#NAME?</v>
      </c>
    </row>
    <row r="96" spans="2:18" x14ac:dyDescent="0.45">
      <c r="B96" s="17">
        <f t="shared" si="13"/>
        <v>2.600000000000001</v>
      </c>
      <c r="C96" s="8" t="e" cm="1">
        <f t="array" aca="1" ref="C96" ca="1">ZKatzReduced($B96, C$69)</f>
        <v>#NAME?</v>
      </c>
      <c r="D96" s="8" t="e" cm="1">
        <f t="array" aca="1" ref="D96" ca="1">ZKatzReduced($B96, D$69)</f>
        <v>#NAME?</v>
      </c>
      <c r="E96" s="8" t="e" cm="1">
        <f t="array" aca="1" ref="E96" ca="1">ZKatzReduced($B96, E$69)</f>
        <v>#NAME?</v>
      </c>
      <c r="F96" s="8" t="e" cm="1">
        <f t="array" aca="1" ref="F96" ca="1">ZKatzReduced($B96, F$69)</f>
        <v>#NAME?</v>
      </c>
      <c r="G96" s="8" t="e" cm="1">
        <f t="array" aca="1" ref="G96" ca="1">ZKatzReduced($B96, G$69)</f>
        <v>#NAME?</v>
      </c>
      <c r="H96" s="8" t="e" cm="1">
        <f t="array" aca="1" ref="H96" ca="1">ZKatzReduced($B96, H$69)</f>
        <v>#NAME?</v>
      </c>
      <c r="I96" s="8" t="e" cm="1">
        <f t="array" aca="1" ref="I96" ca="1">ZKatzReduced($B96, I$69)</f>
        <v>#NAME?</v>
      </c>
      <c r="J96" s="8" t="e" cm="1">
        <f t="array" aca="1" ref="J96" ca="1">ZKatzReduced($B96, J$69)</f>
        <v>#NAME?</v>
      </c>
      <c r="K96" s="8" t="e" cm="1">
        <f t="array" aca="1" ref="K96" ca="1">ZKatzReduced($B96, K$69)</f>
        <v>#NAME?</v>
      </c>
      <c r="L96" s="8" t="e" cm="1">
        <f t="array" aca="1" ref="L96" ca="1">ZKatzReduced($B96, L$69)</f>
        <v>#NAME?</v>
      </c>
      <c r="M96" s="8" t="e" cm="1">
        <f t="array" aca="1" ref="M96" ca="1">ZKatzReduced($B96, M$69)</f>
        <v>#NAME?</v>
      </c>
      <c r="N96" s="8" t="e" cm="1">
        <f t="array" aca="1" ref="N96" ca="1">ZKatzReduced($B96, N$69)</f>
        <v>#NAME?</v>
      </c>
      <c r="O96" s="8" t="e" cm="1">
        <f t="array" aca="1" ref="O96" ca="1">ZKatzReduced($B96, O$69)</f>
        <v>#NAME?</v>
      </c>
      <c r="P96" s="8" t="e" cm="1">
        <f t="array" aca="1" ref="P96" ca="1">ZKatzReduced($B96, P$69)</f>
        <v>#NAME?</v>
      </c>
      <c r="Q96" s="8" t="e" cm="1">
        <f t="array" aca="1" ref="Q96" ca="1">ZKatzReduced($B96, Q$69)</f>
        <v>#NAME?</v>
      </c>
      <c r="R96" s="8" t="e" cm="1">
        <f t="array" aca="1" ref="R96" ca="1">ZKatzReduced($B96, R$69)</f>
        <v>#NAME?</v>
      </c>
    </row>
    <row r="97" spans="2:18" x14ac:dyDescent="0.45">
      <c r="B97" s="17">
        <f t="shared" si="13"/>
        <v>2.7000000000000011</v>
      </c>
      <c r="C97" s="8" t="e" cm="1">
        <f t="array" aca="1" ref="C97" ca="1">ZKatzReduced($B97, C$69)</f>
        <v>#NAME?</v>
      </c>
      <c r="D97" s="8" t="e" cm="1">
        <f t="array" aca="1" ref="D97" ca="1">ZKatzReduced($B97, D$69)</f>
        <v>#NAME?</v>
      </c>
      <c r="E97" s="8" t="e" cm="1">
        <f t="array" aca="1" ref="E97" ca="1">ZKatzReduced($B97, E$69)</f>
        <v>#NAME?</v>
      </c>
      <c r="F97" s="8" t="e" cm="1">
        <f t="array" aca="1" ref="F97" ca="1">ZKatzReduced($B97, F$69)</f>
        <v>#NAME?</v>
      </c>
      <c r="G97" s="8" t="e" cm="1">
        <f t="array" aca="1" ref="G97" ca="1">ZKatzReduced($B97, G$69)</f>
        <v>#NAME?</v>
      </c>
      <c r="H97" s="8" t="e" cm="1">
        <f t="array" aca="1" ref="H97" ca="1">ZKatzReduced($B97, H$69)</f>
        <v>#NAME?</v>
      </c>
      <c r="I97" s="8" t="e" cm="1">
        <f t="array" aca="1" ref="I97" ca="1">ZKatzReduced($B97, I$69)</f>
        <v>#NAME?</v>
      </c>
      <c r="J97" s="8" t="e" cm="1">
        <f t="array" aca="1" ref="J97" ca="1">ZKatzReduced($B97, J$69)</f>
        <v>#NAME?</v>
      </c>
      <c r="K97" s="8" t="e" cm="1">
        <f t="array" aca="1" ref="K97" ca="1">ZKatzReduced($B97, K$69)</f>
        <v>#NAME?</v>
      </c>
      <c r="L97" s="8" t="e" cm="1">
        <f t="array" aca="1" ref="L97" ca="1">ZKatzReduced($B97, L$69)</f>
        <v>#NAME?</v>
      </c>
      <c r="M97" s="8" t="e" cm="1">
        <f t="array" aca="1" ref="M97" ca="1">ZKatzReduced($B97, M$69)</f>
        <v>#NAME?</v>
      </c>
      <c r="N97" s="8" t="e" cm="1">
        <f t="array" aca="1" ref="N97" ca="1">ZKatzReduced($B97, N$69)</f>
        <v>#NAME?</v>
      </c>
      <c r="O97" s="8" t="e" cm="1">
        <f t="array" aca="1" ref="O97" ca="1">ZKatzReduced($B97, O$69)</f>
        <v>#NAME?</v>
      </c>
      <c r="P97" s="8" t="e" cm="1">
        <f t="array" aca="1" ref="P97" ca="1">ZKatzReduced($B97, P$69)</f>
        <v>#NAME?</v>
      </c>
      <c r="Q97" s="8" t="e" cm="1">
        <f t="array" aca="1" ref="Q97" ca="1">ZKatzReduced($B97, Q$69)</f>
        <v>#NAME?</v>
      </c>
      <c r="R97" s="8" t="e" cm="1">
        <f t="array" aca="1" ref="R97" ca="1">ZKatzReduced($B97, R$69)</f>
        <v>#NAME?</v>
      </c>
    </row>
    <row r="98" spans="2:18" x14ac:dyDescent="0.45">
      <c r="B98" s="17">
        <f t="shared" si="13"/>
        <v>2.8000000000000012</v>
      </c>
      <c r="C98" s="8" t="e" cm="1">
        <f t="array" aca="1" ref="C98" ca="1">ZKatzReduced($B98, C$69)</f>
        <v>#NAME?</v>
      </c>
      <c r="D98" s="8" t="e" cm="1">
        <f t="array" aca="1" ref="D98" ca="1">ZKatzReduced($B98, D$69)</f>
        <v>#NAME?</v>
      </c>
      <c r="E98" s="8" t="e" cm="1">
        <f t="array" aca="1" ref="E98" ca="1">ZKatzReduced($B98, E$69)</f>
        <v>#NAME?</v>
      </c>
      <c r="F98" s="8" t="e" cm="1">
        <f t="array" aca="1" ref="F98" ca="1">ZKatzReduced($B98, F$69)</f>
        <v>#NAME?</v>
      </c>
      <c r="G98" s="8" t="e" cm="1">
        <f t="array" aca="1" ref="G98" ca="1">ZKatzReduced($B98, G$69)</f>
        <v>#NAME?</v>
      </c>
      <c r="H98" s="8" t="e" cm="1">
        <f t="array" aca="1" ref="H98" ca="1">ZKatzReduced($B98, H$69)</f>
        <v>#NAME?</v>
      </c>
      <c r="I98" s="8" t="e" cm="1">
        <f t="array" aca="1" ref="I98" ca="1">ZKatzReduced($B98, I$69)</f>
        <v>#NAME?</v>
      </c>
      <c r="J98" s="8" t="e" cm="1">
        <f t="array" aca="1" ref="J98" ca="1">ZKatzReduced($B98, J$69)</f>
        <v>#NAME?</v>
      </c>
      <c r="K98" s="8" t="e" cm="1">
        <f t="array" aca="1" ref="K98" ca="1">ZKatzReduced($B98, K$69)</f>
        <v>#NAME?</v>
      </c>
      <c r="L98" s="8" t="e" cm="1">
        <f t="array" aca="1" ref="L98" ca="1">ZKatzReduced($B98, L$69)</f>
        <v>#NAME?</v>
      </c>
      <c r="M98" s="8" t="e" cm="1">
        <f t="array" aca="1" ref="M98" ca="1">ZKatzReduced($B98, M$69)</f>
        <v>#NAME?</v>
      </c>
      <c r="N98" s="8" t="e" cm="1">
        <f t="array" aca="1" ref="N98" ca="1">ZKatzReduced($B98, N$69)</f>
        <v>#NAME?</v>
      </c>
      <c r="O98" s="8" t="e" cm="1">
        <f t="array" aca="1" ref="O98" ca="1">ZKatzReduced($B98, O$69)</f>
        <v>#NAME?</v>
      </c>
      <c r="P98" s="8" t="e" cm="1">
        <f t="array" aca="1" ref="P98" ca="1">ZKatzReduced($B98, P$69)</f>
        <v>#NAME?</v>
      </c>
      <c r="Q98" s="8" t="e" cm="1">
        <f t="array" aca="1" ref="Q98" ca="1">ZKatzReduced($B98, Q$69)</f>
        <v>#NAME?</v>
      </c>
      <c r="R98" s="8" t="e" cm="1">
        <f t="array" aca="1" ref="R98" ca="1">ZKatzReduced($B98, R$69)</f>
        <v>#NAME?</v>
      </c>
    </row>
    <row r="99" spans="2:18" x14ac:dyDescent="0.45">
      <c r="B99" s="17">
        <f t="shared" si="13"/>
        <v>2.9000000000000012</v>
      </c>
      <c r="C99" s="8" t="e" cm="1">
        <f t="array" aca="1" ref="C99" ca="1">ZKatzReduced($B99, C$69)</f>
        <v>#NAME?</v>
      </c>
      <c r="D99" s="8" t="e" cm="1">
        <f t="array" aca="1" ref="D99" ca="1">ZKatzReduced($B99, D$69)</f>
        <v>#NAME?</v>
      </c>
      <c r="E99" s="8" t="e" cm="1">
        <f t="array" aca="1" ref="E99" ca="1">ZKatzReduced($B99, E$69)</f>
        <v>#NAME?</v>
      </c>
      <c r="F99" s="8" t="e" cm="1">
        <f t="array" aca="1" ref="F99" ca="1">ZKatzReduced($B99, F$69)</f>
        <v>#NAME?</v>
      </c>
      <c r="G99" s="8" t="e" cm="1">
        <f t="array" aca="1" ref="G99" ca="1">ZKatzReduced($B99, G$69)</f>
        <v>#NAME?</v>
      </c>
      <c r="H99" s="8" t="e" cm="1">
        <f t="array" aca="1" ref="H99" ca="1">ZKatzReduced($B99, H$69)</f>
        <v>#NAME?</v>
      </c>
      <c r="I99" s="8" t="e" cm="1">
        <f t="array" aca="1" ref="I99" ca="1">ZKatzReduced($B99, I$69)</f>
        <v>#NAME?</v>
      </c>
      <c r="J99" s="8" t="e" cm="1">
        <f t="array" aca="1" ref="J99" ca="1">ZKatzReduced($B99, J$69)</f>
        <v>#NAME?</v>
      </c>
      <c r="K99" s="8" t="e" cm="1">
        <f t="array" aca="1" ref="K99" ca="1">ZKatzReduced($B99, K$69)</f>
        <v>#NAME?</v>
      </c>
      <c r="L99" s="8" t="e" cm="1">
        <f t="array" aca="1" ref="L99" ca="1">ZKatzReduced($B99, L$69)</f>
        <v>#NAME?</v>
      </c>
      <c r="M99" s="8" t="e" cm="1">
        <f t="array" aca="1" ref="M99" ca="1">ZKatzReduced($B99, M$69)</f>
        <v>#NAME?</v>
      </c>
      <c r="N99" s="8" t="e" cm="1">
        <f t="array" aca="1" ref="N99" ca="1">ZKatzReduced($B99, N$69)</f>
        <v>#NAME?</v>
      </c>
      <c r="O99" s="8" t="e" cm="1">
        <f t="array" aca="1" ref="O99" ca="1">ZKatzReduced($B99, O$69)</f>
        <v>#NAME?</v>
      </c>
      <c r="P99" s="8" t="e" cm="1">
        <f t="array" aca="1" ref="P99" ca="1">ZKatzReduced($B99, P$69)</f>
        <v>#NAME?</v>
      </c>
      <c r="Q99" s="8" t="e" cm="1">
        <f t="array" aca="1" ref="Q99" ca="1">ZKatzReduced($B99, Q$69)</f>
        <v>#NAME?</v>
      </c>
      <c r="R99" s="8" t="e" cm="1">
        <f t="array" aca="1" ref="R99" ca="1">ZKatzReduced($B99, R$69)</f>
        <v>#NAME?</v>
      </c>
    </row>
    <row r="100" spans="2:18" x14ac:dyDescent="0.45">
      <c r="B100" s="17">
        <f t="shared" si="13"/>
        <v>3.0000000000000013</v>
      </c>
      <c r="C100" s="8" t="e" cm="1">
        <f t="array" aca="1" ref="C100" ca="1">ZKatzReduced($B100, C$69)</f>
        <v>#NAME?</v>
      </c>
      <c r="D100" s="8" t="e" cm="1">
        <f t="array" aca="1" ref="D100" ca="1">ZKatzReduced($B100, D$69)</f>
        <v>#NAME?</v>
      </c>
      <c r="E100" s="8" t="e" cm="1">
        <f t="array" aca="1" ref="E100" ca="1">ZKatzReduced($B100, E$69)</f>
        <v>#NAME?</v>
      </c>
      <c r="F100" s="8" t="e" cm="1">
        <f t="array" aca="1" ref="F100" ca="1">ZKatzReduced($B100, F$69)</f>
        <v>#NAME?</v>
      </c>
      <c r="G100" s="8" t="e" cm="1">
        <f t="array" aca="1" ref="G100" ca="1">ZKatzReduced($B100, G$69)</f>
        <v>#NAME?</v>
      </c>
      <c r="H100" s="8" t="e" cm="1">
        <f t="array" aca="1" ref="H100" ca="1">ZKatzReduced($B100, H$69)</f>
        <v>#NAME?</v>
      </c>
      <c r="I100" s="8" t="e" cm="1">
        <f t="array" aca="1" ref="I100" ca="1">ZKatzReduced($B100, I$69)</f>
        <v>#NAME?</v>
      </c>
      <c r="J100" s="8" t="e" cm="1">
        <f t="array" aca="1" ref="J100" ca="1">ZKatzReduced($B100, J$69)</f>
        <v>#NAME?</v>
      </c>
      <c r="K100" s="8" t="e" cm="1">
        <f t="array" aca="1" ref="K100" ca="1">ZKatzReduced($B100, K$69)</f>
        <v>#NAME?</v>
      </c>
      <c r="L100" s="8" t="e" cm="1">
        <f t="array" aca="1" ref="L100" ca="1">ZKatzReduced($B100, L$69)</f>
        <v>#NAME?</v>
      </c>
      <c r="M100" s="8" t="e" cm="1">
        <f t="array" aca="1" ref="M100" ca="1">ZKatzReduced($B100, M$69)</f>
        <v>#NAME?</v>
      </c>
      <c r="N100" s="8" t="e" cm="1">
        <f t="array" aca="1" ref="N100" ca="1">ZKatzReduced($B100, N$69)</f>
        <v>#NAME?</v>
      </c>
      <c r="O100" s="8" t="e" cm="1">
        <f t="array" aca="1" ref="O100" ca="1">ZKatzReduced($B100, O$69)</f>
        <v>#NAME?</v>
      </c>
      <c r="P100" s="8" t="e" cm="1">
        <f t="array" aca="1" ref="P100" ca="1">ZKatzReduced($B100, P$69)</f>
        <v>#NAME?</v>
      </c>
      <c r="Q100" s="8" t="e" cm="1">
        <f t="array" aca="1" ref="Q100" ca="1">ZKatzReduced($B100, Q$69)</f>
        <v>#NAME?</v>
      </c>
      <c r="R100" s="8" t="e" cm="1">
        <f t="array" aca="1" ref="R100" ca="1">ZKatzReduced($B100, R$69)</f>
        <v>#NAME?</v>
      </c>
    </row>
    <row r="101" spans="2:18" x14ac:dyDescent="0.45">
      <c r="B101" s="17">
        <f t="shared" si="13"/>
        <v>3.1000000000000014</v>
      </c>
      <c r="C101" s="8" t="e" cm="1">
        <f t="array" aca="1" ref="C101" ca="1">ZKatzReduced($B101, C$69)</f>
        <v>#NAME?</v>
      </c>
      <c r="D101" s="8" t="e" cm="1">
        <f t="array" aca="1" ref="D101" ca="1">ZKatzReduced($B101, D$69)</f>
        <v>#NAME?</v>
      </c>
      <c r="E101" s="8" t="e" cm="1">
        <f t="array" aca="1" ref="E101" ca="1">ZKatzReduced($B101, E$69)</f>
        <v>#NAME?</v>
      </c>
      <c r="F101" s="8" t="e" cm="1">
        <f t="array" aca="1" ref="F101" ca="1">ZKatzReduced($B101, F$69)</f>
        <v>#NAME?</v>
      </c>
      <c r="G101" s="8" t="e" cm="1">
        <f t="array" aca="1" ref="G101" ca="1">ZKatzReduced($B101, G$69)</f>
        <v>#NAME?</v>
      </c>
      <c r="H101" s="8" t="e" cm="1">
        <f t="array" aca="1" ref="H101" ca="1">ZKatzReduced($B101, H$69)</f>
        <v>#NAME?</v>
      </c>
      <c r="I101" s="8" t="e" cm="1">
        <f t="array" aca="1" ref="I101" ca="1">ZKatzReduced($B101, I$69)</f>
        <v>#NAME?</v>
      </c>
      <c r="J101" s="8" t="e" cm="1">
        <f t="array" aca="1" ref="J101" ca="1">ZKatzReduced($B101, J$69)</f>
        <v>#NAME?</v>
      </c>
      <c r="K101" s="8" t="e" cm="1">
        <f t="array" aca="1" ref="K101" ca="1">ZKatzReduced($B101, K$69)</f>
        <v>#NAME?</v>
      </c>
      <c r="L101" s="8" t="e" cm="1">
        <f t="array" aca="1" ref="L101" ca="1">ZKatzReduced($B101, L$69)</f>
        <v>#NAME?</v>
      </c>
      <c r="M101" s="8" t="e" cm="1">
        <f t="array" aca="1" ref="M101" ca="1">ZKatzReduced($B101, M$69)</f>
        <v>#NAME?</v>
      </c>
      <c r="N101" s="8" t="e" cm="1">
        <f t="array" aca="1" ref="N101" ca="1">ZKatzReduced($B101, N$69)</f>
        <v>#NAME?</v>
      </c>
      <c r="O101" s="8" t="e" cm="1">
        <f t="array" aca="1" ref="O101" ca="1">ZKatzReduced($B101, O$69)</f>
        <v>#NAME?</v>
      </c>
      <c r="P101" s="8" t="e" cm="1">
        <f t="array" aca="1" ref="P101" ca="1">ZKatzReduced($B101, P$69)</f>
        <v>#NAME?</v>
      </c>
      <c r="Q101" s="8" t="e" cm="1">
        <f t="array" aca="1" ref="Q101" ca="1">ZKatzReduced($B101, Q$69)</f>
        <v>#NAME?</v>
      </c>
      <c r="R101" s="8" t="e" cm="1">
        <f t="array" aca="1" ref="R101" ca="1">ZKatzReduced($B101, R$69)</f>
        <v>#NAME?</v>
      </c>
    </row>
    <row r="102" spans="2:18" x14ac:dyDescent="0.45">
      <c r="B102" s="17">
        <f t="shared" si="13"/>
        <v>3.2000000000000015</v>
      </c>
      <c r="C102" s="8" t="e" cm="1">
        <f t="array" aca="1" ref="C102" ca="1">ZKatzReduced($B102, C$69)</f>
        <v>#NAME?</v>
      </c>
      <c r="D102" s="8" t="e" cm="1">
        <f t="array" aca="1" ref="D102" ca="1">ZKatzReduced($B102, D$69)</f>
        <v>#NAME?</v>
      </c>
      <c r="E102" s="8" t="e" cm="1">
        <f t="array" aca="1" ref="E102" ca="1">ZKatzReduced($B102, E$69)</f>
        <v>#NAME?</v>
      </c>
      <c r="F102" s="8" t="e" cm="1">
        <f t="array" aca="1" ref="F102" ca="1">ZKatzReduced($B102, F$69)</f>
        <v>#NAME?</v>
      </c>
      <c r="G102" s="8" t="e" cm="1">
        <f t="array" aca="1" ref="G102" ca="1">ZKatzReduced($B102, G$69)</f>
        <v>#NAME?</v>
      </c>
      <c r="H102" s="8" t="e" cm="1">
        <f t="array" aca="1" ref="H102" ca="1">ZKatzReduced($B102, H$69)</f>
        <v>#NAME?</v>
      </c>
      <c r="I102" s="8" t="e" cm="1">
        <f t="array" aca="1" ref="I102" ca="1">ZKatzReduced($B102, I$69)</f>
        <v>#NAME?</v>
      </c>
      <c r="J102" s="8" t="e" cm="1">
        <f t="array" aca="1" ref="J102" ca="1">ZKatzReduced($B102, J$69)</f>
        <v>#NAME?</v>
      </c>
      <c r="K102" s="8" t="e" cm="1">
        <f t="array" aca="1" ref="K102" ca="1">ZKatzReduced($B102, K$69)</f>
        <v>#NAME?</v>
      </c>
      <c r="L102" s="8" t="e" cm="1">
        <f t="array" aca="1" ref="L102" ca="1">ZKatzReduced($B102, L$69)</f>
        <v>#NAME?</v>
      </c>
      <c r="M102" s="8" t="e" cm="1">
        <f t="array" aca="1" ref="M102" ca="1">ZKatzReduced($B102, M$69)</f>
        <v>#NAME?</v>
      </c>
      <c r="N102" s="8" t="e" cm="1">
        <f t="array" aca="1" ref="N102" ca="1">ZKatzReduced($B102, N$69)</f>
        <v>#NAME?</v>
      </c>
      <c r="O102" s="8" t="e" cm="1">
        <f t="array" aca="1" ref="O102" ca="1">ZKatzReduced($B102, O$69)</f>
        <v>#NAME?</v>
      </c>
      <c r="P102" s="8" t="e" cm="1">
        <f t="array" aca="1" ref="P102" ca="1">ZKatzReduced($B102, P$69)</f>
        <v>#NAME?</v>
      </c>
      <c r="Q102" s="8" t="e" cm="1">
        <f t="array" aca="1" ref="Q102" ca="1">ZKatzReduced($B102, Q$69)</f>
        <v>#NAME?</v>
      </c>
      <c r="R102" s="8" t="e" cm="1">
        <f t="array" aca="1" ref="R102" ca="1">ZKatzReduced($B102, R$69)</f>
        <v>#NAME?</v>
      </c>
    </row>
    <row r="103" spans="2:18" x14ac:dyDescent="0.45">
      <c r="B103" s="17">
        <f t="shared" si="13"/>
        <v>3.3000000000000016</v>
      </c>
      <c r="C103" s="8" t="e" cm="1">
        <f t="array" aca="1" ref="C103" ca="1">ZKatzReduced($B103, C$69)</f>
        <v>#NAME?</v>
      </c>
      <c r="D103" s="8" t="e" cm="1">
        <f t="array" aca="1" ref="D103" ca="1">ZKatzReduced($B103, D$69)</f>
        <v>#NAME?</v>
      </c>
      <c r="E103" s="8" t="e" cm="1">
        <f t="array" aca="1" ref="E103" ca="1">ZKatzReduced($B103, E$69)</f>
        <v>#NAME?</v>
      </c>
      <c r="F103" s="8" t="e" cm="1">
        <f t="array" aca="1" ref="F103" ca="1">ZKatzReduced($B103, F$69)</f>
        <v>#NAME?</v>
      </c>
      <c r="G103" s="8" t="e" cm="1">
        <f t="array" aca="1" ref="G103" ca="1">ZKatzReduced($B103, G$69)</f>
        <v>#NAME?</v>
      </c>
      <c r="H103" s="8" t="e" cm="1">
        <f t="array" aca="1" ref="H103" ca="1">ZKatzReduced($B103, H$69)</f>
        <v>#NAME?</v>
      </c>
      <c r="I103" s="8" t="e" cm="1">
        <f t="array" aca="1" ref="I103" ca="1">ZKatzReduced($B103, I$69)</f>
        <v>#NAME?</v>
      </c>
      <c r="J103" s="8" t="e" cm="1">
        <f t="array" aca="1" ref="J103" ca="1">ZKatzReduced($B103, J$69)</f>
        <v>#NAME?</v>
      </c>
      <c r="K103" s="8" t="e" cm="1">
        <f t="array" aca="1" ref="K103" ca="1">ZKatzReduced($B103, K$69)</f>
        <v>#NAME?</v>
      </c>
      <c r="L103" s="8" t="e" cm="1">
        <f t="array" aca="1" ref="L103" ca="1">ZKatzReduced($B103, L$69)</f>
        <v>#NAME?</v>
      </c>
      <c r="M103" s="8" t="e" cm="1">
        <f t="array" aca="1" ref="M103" ca="1">ZKatzReduced($B103, M$69)</f>
        <v>#NAME?</v>
      </c>
      <c r="N103" s="8" t="e" cm="1">
        <f t="array" aca="1" ref="N103" ca="1">ZKatzReduced($B103, N$69)</f>
        <v>#NAME?</v>
      </c>
      <c r="O103" s="8" t="e" cm="1">
        <f t="array" aca="1" ref="O103" ca="1">ZKatzReduced($B103, O$69)</f>
        <v>#NAME?</v>
      </c>
      <c r="P103" s="8" t="e" cm="1">
        <f t="array" aca="1" ref="P103" ca="1">ZKatzReduced($B103, P$69)</f>
        <v>#NAME?</v>
      </c>
      <c r="Q103" s="8" t="e" cm="1">
        <f t="array" aca="1" ref="Q103" ca="1">ZKatzReduced($B103, Q$69)</f>
        <v>#NAME?</v>
      </c>
      <c r="R103" s="8" t="e" cm="1">
        <f t="array" aca="1" ref="R103" ca="1">ZKatzReduced($B103, R$69)</f>
        <v>#NAME?</v>
      </c>
    </row>
    <row r="104" spans="2:18" x14ac:dyDescent="0.45">
      <c r="B104" s="17">
        <f t="shared" si="13"/>
        <v>3.4000000000000017</v>
      </c>
      <c r="C104" s="8" t="e" cm="1">
        <f t="array" aca="1" ref="C104" ca="1">ZKatzReduced($B104, C$69)</f>
        <v>#NAME?</v>
      </c>
      <c r="D104" s="8" t="e" cm="1">
        <f t="array" aca="1" ref="D104" ca="1">ZKatzReduced($B104, D$69)</f>
        <v>#NAME?</v>
      </c>
      <c r="E104" s="8" t="e" cm="1">
        <f t="array" aca="1" ref="E104" ca="1">ZKatzReduced($B104, E$69)</f>
        <v>#NAME?</v>
      </c>
      <c r="F104" s="8" t="e" cm="1">
        <f t="array" aca="1" ref="F104" ca="1">ZKatzReduced($B104, F$69)</f>
        <v>#NAME?</v>
      </c>
      <c r="G104" s="8" t="e" cm="1">
        <f t="array" aca="1" ref="G104" ca="1">ZKatzReduced($B104, G$69)</f>
        <v>#NAME?</v>
      </c>
      <c r="H104" s="8" t="e" cm="1">
        <f t="array" aca="1" ref="H104" ca="1">ZKatzReduced($B104, H$69)</f>
        <v>#NAME?</v>
      </c>
      <c r="I104" s="8" t="e" cm="1">
        <f t="array" aca="1" ref="I104" ca="1">ZKatzReduced($B104, I$69)</f>
        <v>#NAME?</v>
      </c>
      <c r="J104" s="8" t="e" cm="1">
        <f t="array" aca="1" ref="J104" ca="1">ZKatzReduced($B104, J$69)</f>
        <v>#NAME?</v>
      </c>
      <c r="K104" s="8" t="e" cm="1">
        <f t="array" aca="1" ref="K104" ca="1">ZKatzReduced($B104, K$69)</f>
        <v>#NAME?</v>
      </c>
      <c r="L104" s="8" t="e" cm="1">
        <f t="array" aca="1" ref="L104" ca="1">ZKatzReduced($B104, L$69)</f>
        <v>#NAME?</v>
      </c>
      <c r="M104" s="8" t="e" cm="1">
        <f t="array" aca="1" ref="M104" ca="1">ZKatzReduced($B104, M$69)</f>
        <v>#NAME?</v>
      </c>
      <c r="N104" s="8" t="e" cm="1">
        <f t="array" aca="1" ref="N104" ca="1">ZKatzReduced($B104, N$69)</f>
        <v>#NAME?</v>
      </c>
      <c r="O104" s="8" t="e" cm="1">
        <f t="array" aca="1" ref="O104" ca="1">ZKatzReduced($B104, O$69)</f>
        <v>#NAME?</v>
      </c>
      <c r="P104" s="8" t="e" cm="1">
        <f t="array" aca="1" ref="P104" ca="1">ZKatzReduced($B104, P$69)</f>
        <v>#NAME?</v>
      </c>
      <c r="Q104" s="8" t="e" cm="1">
        <f t="array" aca="1" ref="Q104" ca="1">ZKatzReduced($B104, Q$69)</f>
        <v>#NAME?</v>
      </c>
      <c r="R104" s="8" t="e" cm="1">
        <f t="array" aca="1" ref="R104" ca="1">ZKatzReduced($B104, R$69)</f>
        <v>#NAME?</v>
      </c>
    </row>
    <row r="105" spans="2:18" x14ac:dyDescent="0.45">
      <c r="B105" s="17">
        <f t="shared" si="13"/>
        <v>3.5000000000000018</v>
      </c>
      <c r="C105" s="8" t="e" cm="1">
        <f t="array" aca="1" ref="C105" ca="1">ZKatzReduced($B105, C$69)</f>
        <v>#NAME?</v>
      </c>
      <c r="D105" s="8" t="e" cm="1">
        <f t="array" aca="1" ref="D105" ca="1">ZKatzReduced($B105, D$69)</f>
        <v>#NAME?</v>
      </c>
      <c r="E105" s="8" t="e" cm="1">
        <f t="array" aca="1" ref="E105" ca="1">ZKatzReduced($B105, E$69)</f>
        <v>#NAME?</v>
      </c>
      <c r="F105" s="8" t="e" cm="1">
        <f t="array" aca="1" ref="F105" ca="1">ZKatzReduced($B105, F$69)</f>
        <v>#NAME?</v>
      </c>
      <c r="G105" s="8" t="e" cm="1">
        <f t="array" aca="1" ref="G105" ca="1">ZKatzReduced($B105, G$69)</f>
        <v>#NAME?</v>
      </c>
      <c r="H105" s="8" t="e" cm="1">
        <f t="array" aca="1" ref="H105" ca="1">ZKatzReduced($B105, H$69)</f>
        <v>#NAME?</v>
      </c>
      <c r="I105" s="8" t="e" cm="1">
        <f t="array" aca="1" ref="I105" ca="1">ZKatzReduced($B105, I$69)</f>
        <v>#NAME?</v>
      </c>
      <c r="J105" s="8" t="e" cm="1">
        <f t="array" aca="1" ref="J105" ca="1">ZKatzReduced($B105, J$69)</f>
        <v>#NAME?</v>
      </c>
      <c r="K105" s="8" t="e" cm="1">
        <f t="array" aca="1" ref="K105" ca="1">ZKatzReduced($B105, K$69)</f>
        <v>#NAME?</v>
      </c>
      <c r="L105" s="8" t="e" cm="1">
        <f t="array" aca="1" ref="L105" ca="1">ZKatzReduced($B105, L$69)</f>
        <v>#NAME?</v>
      </c>
      <c r="M105" s="8" t="e" cm="1">
        <f t="array" aca="1" ref="M105" ca="1">ZKatzReduced($B105, M$69)</f>
        <v>#NAME?</v>
      </c>
      <c r="N105" s="8" t="e" cm="1">
        <f t="array" aca="1" ref="N105" ca="1">ZKatzReduced($B105, N$69)</f>
        <v>#NAME?</v>
      </c>
      <c r="O105" s="8" t="e" cm="1">
        <f t="array" aca="1" ref="O105" ca="1">ZKatzReduced($B105, O$69)</f>
        <v>#NAME?</v>
      </c>
      <c r="P105" s="8" t="e" cm="1">
        <f t="array" aca="1" ref="P105" ca="1">ZKatzReduced($B105, P$69)</f>
        <v>#NAME?</v>
      </c>
      <c r="Q105" s="8" t="e" cm="1">
        <f t="array" aca="1" ref="Q105" ca="1">ZKatzReduced($B105, Q$69)</f>
        <v>#NAME?</v>
      </c>
      <c r="R105" s="8" t="e" cm="1">
        <f t="array" aca="1" ref="R105" ca="1">ZKatzReduced($B105, R$69)</f>
        <v>#NAME?</v>
      </c>
    </row>
    <row r="106" spans="2:18" x14ac:dyDescent="0.45">
      <c r="B106" s="17">
        <f t="shared" si="13"/>
        <v>3.6000000000000019</v>
      </c>
      <c r="C106" s="8" t="e" cm="1">
        <f t="array" aca="1" ref="C106" ca="1">ZKatzReduced($B106, C$69)</f>
        <v>#NAME?</v>
      </c>
      <c r="D106" s="8" t="e" cm="1">
        <f t="array" aca="1" ref="D106" ca="1">ZKatzReduced($B106, D$69)</f>
        <v>#NAME?</v>
      </c>
      <c r="E106" s="8" t="e" cm="1">
        <f t="array" aca="1" ref="E106" ca="1">ZKatzReduced($B106, E$69)</f>
        <v>#NAME?</v>
      </c>
      <c r="F106" s="8" t="e" cm="1">
        <f t="array" aca="1" ref="F106" ca="1">ZKatzReduced($B106, F$69)</f>
        <v>#NAME?</v>
      </c>
      <c r="G106" s="8" t="e" cm="1">
        <f t="array" aca="1" ref="G106" ca="1">ZKatzReduced($B106, G$69)</f>
        <v>#NAME?</v>
      </c>
      <c r="H106" s="8" t="e" cm="1">
        <f t="array" aca="1" ref="H106" ca="1">ZKatzReduced($B106, H$69)</f>
        <v>#NAME?</v>
      </c>
      <c r="I106" s="8" t="e" cm="1">
        <f t="array" aca="1" ref="I106" ca="1">ZKatzReduced($B106, I$69)</f>
        <v>#NAME?</v>
      </c>
      <c r="J106" s="8" t="e" cm="1">
        <f t="array" aca="1" ref="J106" ca="1">ZKatzReduced($B106, J$69)</f>
        <v>#NAME?</v>
      </c>
      <c r="K106" s="8" t="e" cm="1">
        <f t="array" aca="1" ref="K106" ca="1">ZKatzReduced($B106, K$69)</f>
        <v>#NAME?</v>
      </c>
      <c r="L106" s="8" t="e" cm="1">
        <f t="array" aca="1" ref="L106" ca="1">ZKatzReduced($B106, L$69)</f>
        <v>#NAME?</v>
      </c>
      <c r="M106" s="8" t="e" cm="1">
        <f t="array" aca="1" ref="M106" ca="1">ZKatzReduced($B106, M$69)</f>
        <v>#NAME?</v>
      </c>
      <c r="N106" s="8" t="e" cm="1">
        <f t="array" aca="1" ref="N106" ca="1">ZKatzReduced($B106, N$69)</f>
        <v>#NAME?</v>
      </c>
      <c r="O106" s="8" t="e" cm="1">
        <f t="array" aca="1" ref="O106" ca="1">ZKatzReduced($B106, O$69)</f>
        <v>#NAME?</v>
      </c>
      <c r="P106" s="8" t="e" cm="1">
        <f t="array" aca="1" ref="P106" ca="1">ZKatzReduced($B106, P$69)</f>
        <v>#NAME?</v>
      </c>
      <c r="Q106" s="8" t="e" cm="1">
        <f t="array" aca="1" ref="Q106" ca="1">ZKatzReduced($B106, Q$69)</f>
        <v>#NAME?</v>
      </c>
      <c r="R106" s="8" t="e" cm="1">
        <f t="array" aca="1" ref="R106" ca="1">ZKatzReduced($B106, R$69)</f>
        <v>#NAME?</v>
      </c>
    </row>
    <row r="107" spans="2:18" x14ac:dyDescent="0.45">
      <c r="B107" s="17">
        <f t="shared" si="13"/>
        <v>3.700000000000002</v>
      </c>
      <c r="C107" s="8" t="e" cm="1">
        <f t="array" aca="1" ref="C107" ca="1">ZKatzReduced($B107, C$69)</f>
        <v>#NAME?</v>
      </c>
      <c r="D107" s="8" t="e" cm="1">
        <f t="array" aca="1" ref="D107" ca="1">ZKatzReduced($B107, D$69)</f>
        <v>#NAME?</v>
      </c>
      <c r="E107" s="8" t="e" cm="1">
        <f t="array" aca="1" ref="E107" ca="1">ZKatzReduced($B107, E$69)</f>
        <v>#NAME?</v>
      </c>
      <c r="F107" s="8" t="e" cm="1">
        <f t="array" aca="1" ref="F107" ca="1">ZKatzReduced($B107, F$69)</f>
        <v>#NAME?</v>
      </c>
      <c r="G107" s="8" t="e" cm="1">
        <f t="array" aca="1" ref="G107" ca="1">ZKatzReduced($B107, G$69)</f>
        <v>#NAME?</v>
      </c>
      <c r="H107" s="8" t="e" cm="1">
        <f t="array" aca="1" ref="H107" ca="1">ZKatzReduced($B107, H$69)</f>
        <v>#NAME?</v>
      </c>
      <c r="I107" s="8" t="e" cm="1">
        <f t="array" aca="1" ref="I107" ca="1">ZKatzReduced($B107, I$69)</f>
        <v>#NAME?</v>
      </c>
      <c r="J107" s="8" t="e" cm="1">
        <f t="array" aca="1" ref="J107" ca="1">ZKatzReduced($B107, J$69)</f>
        <v>#NAME?</v>
      </c>
      <c r="K107" s="8" t="e" cm="1">
        <f t="array" aca="1" ref="K107" ca="1">ZKatzReduced($B107, K$69)</f>
        <v>#NAME?</v>
      </c>
      <c r="L107" s="8" t="e" cm="1">
        <f t="array" aca="1" ref="L107" ca="1">ZKatzReduced($B107, L$69)</f>
        <v>#NAME?</v>
      </c>
      <c r="M107" s="8" t="e" cm="1">
        <f t="array" aca="1" ref="M107" ca="1">ZKatzReduced($B107, M$69)</f>
        <v>#NAME?</v>
      </c>
      <c r="N107" s="8" t="e" cm="1">
        <f t="array" aca="1" ref="N107" ca="1">ZKatzReduced($B107, N$69)</f>
        <v>#NAME?</v>
      </c>
      <c r="O107" s="8" t="e" cm="1">
        <f t="array" aca="1" ref="O107" ca="1">ZKatzReduced($B107, O$69)</f>
        <v>#NAME?</v>
      </c>
      <c r="P107" s="8" t="e" cm="1">
        <f t="array" aca="1" ref="P107" ca="1">ZKatzReduced($B107, P$69)</f>
        <v>#NAME?</v>
      </c>
      <c r="Q107" s="8" t="e" cm="1">
        <f t="array" aca="1" ref="Q107" ca="1">ZKatzReduced($B107, Q$69)</f>
        <v>#NAME?</v>
      </c>
      <c r="R107" s="8" t="e" cm="1">
        <f t="array" aca="1" ref="R107" ca="1">ZKatzReduced($B107, R$69)</f>
        <v>#NAME?</v>
      </c>
    </row>
    <row r="108" spans="2:18" x14ac:dyDescent="0.45">
      <c r="B108" s="17">
        <f t="shared" si="13"/>
        <v>3.800000000000002</v>
      </c>
      <c r="C108" s="8" t="e" cm="1">
        <f t="array" aca="1" ref="C108" ca="1">ZKatzReduced($B108, C$69)</f>
        <v>#NAME?</v>
      </c>
      <c r="D108" s="8" t="e" cm="1">
        <f t="array" aca="1" ref="D108" ca="1">ZKatzReduced($B108, D$69)</f>
        <v>#NAME?</v>
      </c>
      <c r="E108" s="8" t="e" cm="1">
        <f t="array" aca="1" ref="E108" ca="1">ZKatzReduced($B108, E$69)</f>
        <v>#NAME?</v>
      </c>
      <c r="F108" s="8" t="e" cm="1">
        <f t="array" aca="1" ref="F108" ca="1">ZKatzReduced($B108, F$69)</f>
        <v>#NAME?</v>
      </c>
      <c r="G108" s="8" t="e" cm="1">
        <f t="array" aca="1" ref="G108" ca="1">ZKatzReduced($B108, G$69)</f>
        <v>#NAME?</v>
      </c>
      <c r="H108" s="8" t="e" cm="1">
        <f t="array" aca="1" ref="H108" ca="1">ZKatzReduced($B108, H$69)</f>
        <v>#NAME?</v>
      </c>
      <c r="I108" s="8" t="e" cm="1">
        <f t="array" aca="1" ref="I108" ca="1">ZKatzReduced($B108, I$69)</f>
        <v>#NAME?</v>
      </c>
      <c r="J108" s="8" t="e" cm="1">
        <f t="array" aca="1" ref="J108" ca="1">ZKatzReduced($B108, J$69)</f>
        <v>#NAME?</v>
      </c>
      <c r="K108" s="8" t="e" cm="1">
        <f t="array" aca="1" ref="K108" ca="1">ZKatzReduced($B108, K$69)</f>
        <v>#NAME?</v>
      </c>
      <c r="L108" s="8" t="e" cm="1">
        <f t="array" aca="1" ref="L108" ca="1">ZKatzReduced($B108, L$69)</f>
        <v>#NAME?</v>
      </c>
      <c r="M108" s="8" t="e" cm="1">
        <f t="array" aca="1" ref="M108" ca="1">ZKatzReduced($B108, M$69)</f>
        <v>#NAME?</v>
      </c>
      <c r="N108" s="8" t="e" cm="1">
        <f t="array" aca="1" ref="N108" ca="1">ZKatzReduced($B108, N$69)</f>
        <v>#NAME?</v>
      </c>
      <c r="O108" s="8" t="e" cm="1">
        <f t="array" aca="1" ref="O108" ca="1">ZKatzReduced($B108, O$69)</f>
        <v>#NAME?</v>
      </c>
      <c r="P108" s="8" t="e" cm="1">
        <f t="array" aca="1" ref="P108" ca="1">ZKatzReduced($B108, P$69)</f>
        <v>#NAME?</v>
      </c>
      <c r="Q108" s="8" t="e" cm="1">
        <f t="array" aca="1" ref="Q108" ca="1">ZKatzReduced($B108, Q$69)</f>
        <v>#NAME?</v>
      </c>
      <c r="R108" s="8" t="e" cm="1">
        <f t="array" aca="1" ref="R108" ca="1">ZKatzReduced($B108, R$69)</f>
        <v>#NAME?</v>
      </c>
    </row>
    <row r="109" spans="2:18" x14ac:dyDescent="0.45">
      <c r="B109" s="17">
        <f t="shared" si="13"/>
        <v>3.9000000000000021</v>
      </c>
      <c r="C109" s="8" t="e" cm="1">
        <f t="array" aca="1" ref="C109" ca="1">ZKatzReduced($B109, C$69)</f>
        <v>#NAME?</v>
      </c>
      <c r="D109" s="8" t="e" cm="1">
        <f t="array" aca="1" ref="D109" ca="1">ZKatzReduced($B109, D$69)</f>
        <v>#NAME?</v>
      </c>
      <c r="E109" s="8" t="e" cm="1">
        <f t="array" aca="1" ref="E109" ca="1">ZKatzReduced($B109, E$69)</f>
        <v>#NAME?</v>
      </c>
      <c r="F109" s="8" t="e" cm="1">
        <f t="array" aca="1" ref="F109" ca="1">ZKatzReduced($B109, F$69)</f>
        <v>#NAME?</v>
      </c>
      <c r="G109" s="8" t="e" cm="1">
        <f t="array" aca="1" ref="G109" ca="1">ZKatzReduced($B109, G$69)</f>
        <v>#NAME?</v>
      </c>
      <c r="H109" s="8" t="e" cm="1">
        <f t="array" aca="1" ref="H109" ca="1">ZKatzReduced($B109, H$69)</f>
        <v>#NAME?</v>
      </c>
      <c r="I109" s="8" t="e" cm="1">
        <f t="array" aca="1" ref="I109" ca="1">ZKatzReduced($B109, I$69)</f>
        <v>#NAME?</v>
      </c>
      <c r="J109" s="8" t="e" cm="1">
        <f t="array" aca="1" ref="J109" ca="1">ZKatzReduced($B109, J$69)</f>
        <v>#NAME?</v>
      </c>
      <c r="K109" s="8" t="e" cm="1">
        <f t="array" aca="1" ref="K109" ca="1">ZKatzReduced($B109, K$69)</f>
        <v>#NAME?</v>
      </c>
      <c r="L109" s="8" t="e" cm="1">
        <f t="array" aca="1" ref="L109" ca="1">ZKatzReduced($B109, L$69)</f>
        <v>#NAME?</v>
      </c>
      <c r="M109" s="8" t="e" cm="1">
        <f t="array" aca="1" ref="M109" ca="1">ZKatzReduced($B109, M$69)</f>
        <v>#NAME?</v>
      </c>
      <c r="N109" s="8" t="e" cm="1">
        <f t="array" aca="1" ref="N109" ca="1">ZKatzReduced($B109, N$69)</f>
        <v>#NAME?</v>
      </c>
      <c r="O109" s="8" t="e" cm="1">
        <f t="array" aca="1" ref="O109" ca="1">ZKatzReduced($B109, O$69)</f>
        <v>#NAME?</v>
      </c>
      <c r="P109" s="8" t="e" cm="1">
        <f t="array" aca="1" ref="P109" ca="1">ZKatzReduced($B109, P$69)</f>
        <v>#NAME?</v>
      </c>
      <c r="Q109" s="8" t="e" cm="1">
        <f t="array" aca="1" ref="Q109" ca="1">ZKatzReduced($B109, Q$69)</f>
        <v>#NAME?</v>
      </c>
      <c r="R109" s="8" t="e" cm="1">
        <f t="array" aca="1" ref="R109" ca="1">ZKatzReduced($B109, R$69)</f>
        <v>#NAME?</v>
      </c>
    </row>
    <row r="110" spans="2:18" x14ac:dyDescent="0.45">
      <c r="B110" s="17">
        <f t="shared" si="13"/>
        <v>4.0000000000000018</v>
      </c>
      <c r="C110" s="8" t="e" cm="1">
        <f t="array" aca="1" ref="C110" ca="1">ZKatzReduced($B110, C$69)</f>
        <v>#NAME?</v>
      </c>
      <c r="D110" s="8" t="e" cm="1">
        <f t="array" aca="1" ref="D110" ca="1">ZKatzReduced($B110, D$69)</f>
        <v>#NAME?</v>
      </c>
      <c r="E110" s="8" t="e" cm="1">
        <f t="array" aca="1" ref="E110" ca="1">ZKatzReduced($B110, E$69)</f>
        <v>#NAME?</v>
      </c>
      <c r="F110" s="8" t="e" cm="1">
        <f t="array" aca="1" ref="F110" ca="1">ZKatzReduced($B110, F$69)</f>
        <v>#NAME?</v>
      </c>
      <c r="G110" s="8" t="e" cm="1">
        <f t="array" aca="1" ref="G110" ca="1">ZKatzReduced($B110, G$69)</f>
        <v>#NAME?</v>
      </c>
      <c r="H110" s="8" t="e" cm="1">
        <f t="array" aca="1" ref="H110" ca="1">ZKatzReduced($B110, H$69)</f>
        <v>#NAME?</v>
      </c>
      <c r="I110" s="8" t="e" cm="1">
        <f t="array" aca="1" ref="I110" ca="1">ZKatzReduced($B110, I$69)</f>
        <v>#NAME?</v>
      </c>
      <c r="J110" s="8" t="e" cm="1">
        <f t="array" aca="1" ref="J110" ca="1">ZKatzReduced($B110, J$69)</f>
        <v>#NAME?</v>
      </c>
      <c r="K110" s="8" t="e" cm="1">
        <f t="array" aca="1" ref="K110" ca="1">ZKatzReduced($B110, K$69)</f>
        <v>#NAME?</v>
      </c>
      <c r="L110" s="8" t="e" cm="1">
        <f t="array" aca="1" ref="L110" ca="1">ZKatzReduced($B110, L$69)</f>
        <v>#NAME?</v>
      </c>
      <c r="M110" s="8" t="e" cm="1">
        <f t="array" aca="1" ref="M110" ca="1">ZKatzReduced($B110, M$69)</f>
        <v>#NAME?</v>
      </c>
      <c r="N110" s="8" t="e" cm="1">
        <f t="array" aca="1" ref="N110" ca="1">ZKatzReduced($B110, N$69)</f>
        <v>#NAME?</v>
      </c>
      <c r="O110" s="8" t="e" cm="1">
        <f t="array" aca="1" ref="O110" ca="1">ZKatzReduced($B110, O$69)</f>
        <v>#NAME?</v>
      </c>
      <c r="P110" s="8" t="e" cm="1">
        <f t="array" aca="1" ref="P110" ca="1">ZKatzReduced($B110, P$69)</f>
        <v>#NAME?</v>
      </c>
      <c r="Q110" s="8" t="e" cm="1">
        <f t="array" aca="1" ref="Q110" ca="1">ZKatzReduced($B110, Q$69)</f>
        <v>#NAME?</v>
      </c>
      <c r="R110" s="8" t="e" cm="1">
        <f t="array" aca="1" ref="R110" ca="1">ZKatzReduced($B110, R$69)</f>
        <v>#NAME?</v>
      </c>
    </row>
    <row r="111" spans="2:18" x14ac:dyDescent="0.45">
      <c r="B111" s="17">
        <f t="shared" si="13"/>
        <v>4.1000000000000014</v>
      </c>
      <c r="C111" s="8" t="e" cm="1">
        <f t="array" aca="1" ref="C111" ca="1">ZKatzReduced($B111, C$69)</f>
        <v>#NAME?</v>
      </c>
      <c r="D111" s="8" t="e" cm="1">
        <f t="array" aca="1" ref="D111" ca="1">ZKatzReduced($B111, D$69)</f>
        <v>#NAME?</v>
      </c>
      <c r="E111" s="8" t="e" cm="1">
        <f t="array" aca="1" ref="E111" ca="1">ZKatzReduced($B111, E$69)</f>
        <v>#NAME?</v>
      </c>
      <c r="F111" s="8" t="e" cm="1">
        <f t="array" aca="1" ref="F111" ca="1">ZKatzReduced($B111, F$69)</f>
        <v>#NAME?</v>
      </c>
      <c r="G111" s="8" t="e" cm="1">
        <f t="array" aca="1" ref="G111" ca="1">ZKatzReduced($B111, G$69)</f>
        <v>#NAME?</v>
      </c>
      <c r="H111" s="8" t="e" cm="1">
        <f t="array" aca="1" ref="H111" ca="1">ZKatzReduced($B111, H$69)</f>
        <v>#NAME?</v>
      </c>
      <c r="I111" s="8" t="e" cm="1">
        <f t="array" aca="1" ref="I111" ca="1">ZKatzReduced($B111, I$69)</f>
        <v>#NAME?</v>
      </c>
      <c r="J111" s="8" t="e" cm="1">
        <f t="array" aca="1" ref="J111" ca="1">ZKatzReduced($B111, J$69)</f>
        <v>#NAME?</v>
      </c>
      <c r="K111" s="8" t="e" cm="1">
        <f t="array" aca="1" ref="K111" ca="1">ZKatzReduced($B111, K$69)</f>
        <v>#NAME?</v>
      </c>
      <c r="L111" s="8" t="e" cm="1">
        <f t="array" aca="1" ref="L111" ca="1">ZKatzReduced($B111, L$69)</f>
        <v>#NAME?</v>
      </c>
      <c r="M111" s="8" t="e" cm="1">
        <f t="array" aca="1" ref="M111" ca="1">ZKatzReduced($B111, M$69)</f>
        <v>#NAME?</v>
      </c>
      <c r="N111" s="8" t="e" cm="1">
        <f t="array" aca="1" ref="N111" ca="1">ZKatzReduced($B111, N$69)</f>
        <v>#NAME?</v>
      </c>
      <c r="O111" s="8" t="e" cm="1">
        <f t="array" aca="1" ref="O111" ca="1">ZKatzReduced($B111, O$69)</f>
        <v>#NAME?</v>
      </c>
      <c r="P111" s="8" t="e" cm="1">
        <f t="array" aca="1" ref="P111" ca="1">ZKatzReduced($B111, P$69)</f>
        <v>#NAME?</v>
      </c>
      <c r="Q111" s="8" t="e" cm="1">
        <f t="array" aca="1" ref="Q111" ca="1">ZKatzReduced($B111, Q$69)</f>
        <v>#NAME?</v>
      </c>
      <c r="R111" s="8" t="e" cm="1">
        <f t="array" aca="1" ref="R111" ca="1">ZKatzReduced($B111, R$69)</f>
        <v>#NAME?</v>
      </c>
    </row>
    <row r="112" spans="2:18" x14ac:dyDescent="0.45">
      <c r="B112" s="17">
        <f t="shared" si="13"/>
        <v>4.2000000000000011</v>
      </c>
      <c r="C112" s="8" t="e" cm="1">
        <f t="array" aca="1" ref="C112" ca="1">ZKatzReduced($B112, C$69)</f>
        <v>#NAME?</v>
      </c>
      <c r="D112" s="8" t="e" cm="1">
        <f t="array" aca="1" ref="D112" ca="1">ZKatzReduced($B112, D$69)</f>
        <v>#NAME?</v>
      </c>
      <c r="E112" s="8" t="e" cm="1">
        <f t="array" aca="1" ref="E112" ca="1">ZKatzReduced($B112, E$69)</f>
        <v>#NAME?</v>
      </c>
      <c r="F112" s="8" t="e" cm="1">
        <f t="array" aca="1" ref="F112" ca="1">ZKatzReduced($B112, F$69)</f>
        <v>#NAME?</v>
      </c>
      <c r="G112" s="8" t="e" cm="1">
        <f t="array" aca="1" ref="G112" ca="1">ZKatzReduced($B112, G$69)</f>
        <v>#NAME?</v>
      </c>
      <c r="H112" s="8" t="e" cm="1">
        <f t="array" aca="1" ref="H112" ca="1">ZKatzReduced($B112, H$69)</f>
        <v>#NAME?</v>
      </c>
      <c r="I112" s="8" t="e" cm="1">
        <f t="array" aca="1" ref="I112" ca="1">ZKatzReduced($B112, I$69)</f>
        <v>#NAME?</v>
      </c>
      <c r="J112" s="8" t="e" cm="1">
        <f t="array" aca="1" ref="J112" ca="1">ZKatzReduced($B112, J$69)</f>
        <v>#NAME?</v>
      </c>
      <c r="K112" s="8" t="e" cm="1">
        <f t="array" aca="1" ref="K112" ca="1">ZKatzReduced($B112, K$69)</f>
        <v>#NAME?</v>
      </c>
      <c r="L112" s="8" t="e" cm="1">
        <f t="array" aca="1" ref="L112" ca="1">ZKatzReduced($B112, L$69)</f>
        <v>#NAME?</v>
      </c>
      <c r="M112" s="8" t="e" cm="1">
        <f t="array" aca="1" ref="M112" ca="1">ZKatzReduced($B112, M$69)</f>
        <v>#NAME?</v>
      </c>
      <c r="N112" s="8" t="e" cm="1">
        <f t="array" aca="1" ref="N112" ca="1">ZKatzReduced($B112, N$69)</f>
        <v>#NAME?</v>
      </c>
      <c r="O112" s="8" t="e" cm="1">
        <f t="array" aca="1" ref="O112" ca="1">ZKatzReduced($B112, O$69)</f>
        <v>#NAME?</v>
      </c>
      <c r="P112" s="8" t="e" cm="1">
        <f t="array" aca="1" ref="P112" ca="1">ZKatzReduced($B112, P$69)</f>
        <v>#NAME?</v>
      </c>
      <c r="Q112" s="8" t="e" cm="1">
        <f t="array" aca="1" ref="Q112" ca="1">ZKatzReduced($B112, Q$69)</f>
        <v>#NAME?</v>
      </c>
      <c r="R112" s="8" t="e" cm="1">
        <f t="array" aca="1" ref="R112" ca="1">ZKatzReduced($B112, R$69)</f>
        <v>#NAME?</v>
      </c>
    </row>
    <row r="113" spans="2:18" x14ac:dyDescent="0.45">
      <c r="B113" s="17">
        <f t="shared" si="13"/>
        <v>4.3000000000000007</v>
      </c>
      <c r="C113" s="8" t="e" cm="1">
        <f t="array" aca="1" ref="C113" ca="1">ZKatzReduced($B113, C$69)</f>
        <v>#NAME?</v>
      </c>
      <c r="D113" s="8" t="e" cm="1">
        <f t="array" aca="1" ref="D113" ca="1">ZKatzReduced($B113, D$69)</f>
        <v>#NAME?</v>
      </c>
      <c r="E113" s="8" t="e" cm="1">
        <f t="array" aca="1" ref="E113" ca="1">ZKatzReduced($B113, E$69)</f>
        <v>#NAME?</v>
      </c>
      <c r="F113" s="8" t="e" cm="1">
        <f t="array" aca="1" ref="F113" ca="1">ZKatzReduced($B113, F$69)</f>
        <v>#NAME?</v>
      </c>
      <c r="G113" s="8" t="e" cm="1">
        <f t="array" aca="1" ref="G113" ca="1">ZKatzReduced($B113, G$69)</f>
        <v>#NAME?</v>
      </c>
      <c r="H113" s="8" t="e" cm="1">
        <f t="array" aca="1" ref="H113" ca="1">ZKatzReduced($B113, H$69)</f>
        <v>#NAME?</v>
      </c>
      <c r="I113" s="8" t="e" cm="1">
        <f t="array" aca="1" ref="I113" ca="1">ZKatzReduced($B113, I$69)</f>
        <v>#NAME?</v>
      </c>
      <c r="J113" s="8" t="e" cm="1">
        <f t="array" aca="1" ref="J113" ca="1">ZKatzReduced($B113, J$69)</f>
        <v>#NAME?</v>
      </c>
      <c r="K113" s="8" t="e" cm="1">
        <f t="array" aca="1" ref="K113" ca="1">ZKatzReduced($B113, K$69)</f>
        <v>#NAME?</v>
      </c>
      <c r="L113" s="8" t="e" cm="1">
        <f t="array" aca="1" ref="L113" ca="1">ZKatzReduced($B113, L$69)</f>
        <v>#NAME?</v>
      </c>
      <c r="M113" s="8" t="e" cm="1">
        <f t="array" aca="1" ref="M113" ca="1">ZKatzReduced($B113, M$69)</f>
        <v>#NAME?</v>
      </c>
      <c r="N113" s="8" t="e" cm="1">
        <f t="array" aca="1" ref="N113" ca="1">ZKatzReduced($B113, N$69)</f>
        <v>#NAME?</v>
      </c>
      <c r="O113" s="8" t="e" cm="1">
        <f t="array" aca="1" ref="O113" ca="1">ZKatzReduced($B113, O$69)</f>
        <v>#NAME?</v>
      </c>
      <c r="P113" s="8" t="e" cm="1">
        <f t="array" aca="1" ref="P113" ca="1">ZKatzReduced($B113, P$69)</f>
        <v>#NAME?</v>
      </c>
      <c r="Q113" s="8" t="e" cm="1">
        <f t="array" aca="1" ref="Q113" ca="1">ZKatzReduced($B113, Q$69)</f>
        <v>#NAME?</v>
      </c>
      <c r="R113" s="8" t="e" cm="1">
        <f t="array" aca="1" ref="R113" ca="1">ZKatzReduced($B113, R$69)</f>
        <v>#NAME?</v>
      </c>
    </row>
    <row r="114" spans="2:18" x14ac:dyDescent="0.45">
      <c r="B114" s="17">
        <f t="shared" si="13"/>
        <v>4.4000000000000004</v>
      </c>
      <c r="C114" s="8" t="e" cm="1">
        <f t="array" aca="1" ref="C114" ca="1">ZKatzReduced($B114, C$69)</f>
        <v>#NAME?</v>
      </c>
      <c r="D114" s="8" t="e" cm="1">
        <f t="array" aca="1" ref="D114" ca="1">ZKatzReduced($B114, D$69)</f>
        <v>#NAME?</v>
      </c>
      <c r="E114" s="8" t="e" cm="1">
        <f t="array" aca="1" ref="E114" ca="1">ZKatzReduced($B114, E$69)</f>
        <v>#NAME?</v>
      </c>
      <c r="F114" s="8" t="e" cm="1">
        <f t="array" aca="1" ref="F114" ca="1">ZKatzReduced($B114, F$69)</f>
        <v>#NAME?</v>
      </c>
      <c r="G114" s="8" t="e" cm="1">
        <f t="array" aca="1" ref="G114" ca="1">ZKatzReduced($B114, G$69)</f>
        <v>#NAME?</v>
      </c>
      <c r="H114" s="8" t="e" cm="1">
        <f t="array" aca="1" ref="H114" ca="1">ZKatzReduced($B114, H$69)</f>
        <v>#NAME?</v>
      </c>
      <c r="I114" s="8" t="e" cm="1">
        <f t="array" aca="1" ref="I114" ca="1">ZKatzReduced($B114, I$69)</f>
        <v>#NAME?</v>
      </c>
      <c r="J114" s="8" t="e" cm="1">
        <f t="array" aca="1" ref="J114" ca="1">ZKatzReduced($B114, J$69)</f>
        <v>#NAME?</v>
      </c>
      <c r="K114" s="8" t="e" cm="1">
        <f t="array" aca="1" ref="K114" ca="1">ZKatzReduced($B114, K$69)</f>
        <v>#NAME?</v>
      </c>
      <c r="L114" s="8" t="e" cm="1">
        <f t="array" aca="1" ref="L114" ca="1">ZKatzReduced($B114, L$69)</f>
        <v>#NAME?</v>
      </c>
      <c r="M114" s="8" t="e" cm="1">
        <f t="array" aca="1" ref="M114" ca="1">ZKatzReduced($B114, M$69)</f>
        <v>#NAME?</v>
      </c>
      <c r="N114" s="8" t="e" cm="1">
        <f t="array" aca="1" ref="N114" ca="1">ZKatzReduced($B114, N$69)</f>
        <v>#NAME?</v>
      </c>
      <c r="O114" s="8" t="e" cm="1">
        <f t="array" aca="1" ref="O114" ca="1">ZKatzReduced($B114, O$69)</f>
        <v>#NAME?</v>
      </c>
      <c r="P114" s="8" t="e" cm="1">
        <f t="array" aca="1" ref="P114" ca="1">ZKatzReduced($B114, P$69)</f>
        <v>#NAME?</v>
      </c>
      <c r="Q114" s="8" t="e" cm="1">
        <f t="array" aca="1" ref="Q114" ca="1">ZKatzReduced($B114, Q$69)</f>
        <v>#NAME?</v>
      </c>
      <c r="R114" s="8" t="e" cm="1">
        <f t="array" aca="1" ref="R114" ca="1">ZKatzReduced($B114, R$69)</f>
        <v>#NAME?</v>
      </c>
    </row>
    <row r="115" spans="2:18" x14ac:dyDescent="0.45">
      <c r="B115" s="17">
        <f t="shared" si="13"/>
        <v>4.5</v>
      </c>
      <c r="C115" s="8" t="e" cm="1">
        <f t="array" aca="1" ref="C115" ca="1">ZKatzReduced($B115, C$69)</f>
        <v>#NAME?</v>
      </c>
      <c r="D115" s="8" t="e" cm="1">
        <f t="array" aca="1" ref="D115" ca="1">ZKatzReduced($B115, D$69)</f>
        <v>#NAME?</v>
      </c>
      <c r="E115" s="8" t="e" cm="1">
        <f t="array" aca="1" ref="E115" ca="1">ZKatzReduced($B115, E$69)</f>
        <v>#NAME?</v>
      </c>
      <c r="F115" s="8" t="e" cm="1">
        <f t="array" aca="1" ref="F115" ca="1">ZKatzReduced($B115, F$69)</f>
        <v>#NAME?</v>
      </c>
      <c r="G115" s="8" t="e" cm="1">
        <f t="array" aca="1" ref="G115" ca="1">ZKatzReduced($B115, G$69)</f>
        <v>#NAME?</v>
      </c>
      <c r="H115" s="8" t="e" cm="1">
        <f t="array" aca="1" ref="H115" ca="1">ZKatzReduced($B115, H$69)</f>
        <v>#NAME?</v>
      </c>
      <c r="I115" s="8" t="e" cm="1">
        <f t="array" aca="1" ref="I115" ca="1">ZKatzReduced($B115, I$69)</f>
        <v>#NAME?</v>
      </c>
      <c r="J115" s="8" t="e" cm="1">
        <f t="array" aca="1" ref="J115" ca="1">ZKatzReduced($B115, J$69)</f>
        <v>#NAME?</v>
      </c>
      <c r="K115" s="8" t="e" cm="1">
        <f t="array" aca="1" ref="K115" ca="1">ZKatzReduced($B115, K$69)</f>
        <v>#NAME?</v>
      </c>
      <c r="L115" s="8" t="e" cm="1">
        <f t="array" aca="1" ref="L115" ca="1">ZKatzReduced($B115, L$69)</f>
        <v>#NAME?</v>
      </c>
      <c r="M115" s="8" t="e" cm="1">
        <f t="array" aca="1" ref="M115" ca="1">ZKatzReduced($B115, M$69)</f>
        <v>#NAME?</v>
      </c>
      <c r="N115" s="8" t="e" cm="1">
        <f t="array" aca="1" ref="N115" ca="1">ZKatzReduced($B115, N$69)</f>
        <v>#NAME?</v>
      </c>
      <c r="O115" s="8" t="e" cm="1">
        <f t="array" aca="1" ref="O115" ca="1">ZKatzReduced($B115, O$69)</f>
        <v>#NAME?</v>
      </c>
      <c r="P115" s="8" t="e" cm="1">
        <f t="array" aca="1" ref="P115" ca="1">ZKatzReduced($B115, P$69)</f>
        <v>#NAME?</v>
      </c>
      <c r="Q115" s="8" t="e" cm="1">
        <f t="array" aca="1" ref="Q115" ca="1">ZKatzReduced($B115, Q$69)</f>
        <v>#NAME?</v>
      </c>
      <c r="R115" s="8" t="e" cm="1">
        <f t="array" aca="1" ref="R115" ca="1">ZKatzReduced($B115, R$69)</f>
        <v>#NAME?</v>
      </c>
    </row>
    <row r="116" spans="2:18" x14ac:dyDescent="0.45">
      <c r="B116" s="17">
        <f t="shared" si="13"/>
        <v>4.5999999999999996</v>
      </c>
      <c r="C116" s="8" t="e" cm="1">
        <f t="array" aca="1" ref="C116" ca="1">ZKatzReduced($B116, C$69)</f>
        <v>#NAME?</v>
      </c>
      <c r="D116" s="8" t="e" cm="1">
        <f t="array" aca="1" ref="D116" ca="1">ZKatzReduced($B116, D$69)</f>
        <v>#NAME?</v>
      </c>
      <c r="E116" s="8" t="e" cm="1">
        <f t="array" aca="1" ref="E116" ca="1">ZKatzReduced($B116, E$69)</f>
        <v>#NAME?</v>
      </c>
      <c r="F116" s="8" t="e" cm="1">
        <f t="array" aca="1" ref="F116" ca="1">ZKatzReduced($B116, F$69)</f>
        <v>#NAME?</v>
      </c>
      <c r="G116" s="8" t="e" cm="1">
        <f t="array" aca="1" ref="G116" ca="1">ZKatzReduced($B116, G$69)</f>
        <v>#NAME?</v>
      </c>
      <c r="H116" s="8" t="e" cm="1">
        <f t="array" aca="1" ref="H116" ca="1">ZKatzReduced($B116, H$69)</f>
        <v>#NAME?</v>
      </c>
      <c r="I116" s="8" t="e" cm="1">
        <f t="array" aca="1" ref="I116" ca="1">ZKatzReduced($B116, I$69)</f>
        <v>#NAME?</v>
      </c>
      <c r="J116" s="8" t="e" cm="1">
        <f t="array" aca="1" ref="J116" ca="1">ZKatzReduced($B116, J$69)</f>
        <v>#NAME?</v>
      </c>
      <c r="K116" s="8" t="e" cm="1">
        <f t="array" aca="1" ref="K116" ca="1">ZKatzReduced($B116, K$69)</f>
        <v>#NAME?</v>
      </c>
      <c r="L116" s="8" t="e" cm="1">
        <f t="array" aca="1" ref="L116" ca="1">ZKatzReduced($B116, L$69)</f>
        <v>#NAME?</v>
      </c>
      <c r="M116" s="8" t="e" cm="1">
        <f t="array" aca="1" ref="M116" ca="1">ZKatzReduced($B116, M$69)</f>
        <v>#NAME?</v>
      </c>
      <c r="N116" s="8" t="e" cm="1">
        <f t="array" aca="1" ref="N116" ca="1">ZKatzReduced($B116, N$69)</f>
        <v>#NAME?</v>
      </c>
      <c r="O116" s="8" t="e" cm="1">
        <f t="array" aca="1" ref="O116" ca="1">ZKatzReduced($B116, O$69)</f>
        <v>#NAME?</v>
      </c>
      <c r="P116" s="8" t="e" cm="1">
        <f t="array" aca="1" ref="P116" ca="1">ZKatzReduced($B116, P$69)</f>
        <v>#NAME?</v>
      </c>
      <c r="Q116" s="8" t="e" cm="1">
        <f t="array" aca="1" ref="Q116" ca="1">ZKatzReduced($B116, Q$69)</f>
        <v>#NAME?</v>
      </c>
      <c r="R116" s="8" t="e" cm="1">
        <f t="array" aca="1" ref="R116" ca="1">ZKatzReduced($B116, R$69)</f>
        <v>#NAME?</v>
      </c>
    </row>
    <row r="117" spans="2:18" x14ac:dyDescent="0.45">
      <c r="B117" s="17">
        <f t="shared" si="13"/>
        <v>4.6999999999999993</v>
      </c>
      <c r="C117" s="8" t="e" cm="1">
        <f t="array" aca="1" ref="C117" ca="1">ZKatzReduced($B117, C$69)</f>
        <v>#NAME?</v>
      </c>
      <c r="D117" s="8" t="e" cm="1">
        <f t="array" aca="1" ref="D117" ca="1">ZKatzReduced($B117, D$69)</f>
        <v>#NAME?</v>
      </c>
      <c r="E117" s="8" t="e" cm="1">
        <f t="array" aca="1" ref="E117" ca="1">ZKatzReduced($B117, E$69)</f>
        <v>#NAME?</v>
      </c>
      <c r="F117" s="8" t="e" cm="1">
        <f t="array" aca="1" ref="F117" ca="1">ZKatzReduced($B117, F$69)</f>
        <v>#NAME?</v>
      </c>
      <c r="G117" s="8" t="e" cm="1">
        <f t="array" aca="1" ref="G117" ca="1">ZKatzReduced($B117, G$69)</f>
        <v>#NAME?</v>
      </c>
      <c r="H117" s="8" t="e" cm="1">
        <f t="array" aca="1" ref="H117" ca="1">ZKatzReduced($B117, H$69)</f>
        <v>#NAME?</v>
      </c>
      <c r="I117" s="8" t="e" cm="1">
        <f t="array" aca="1" ref="I117" ca="1">ZKatzReduced($B117, I$69)</f>
        <v>#NAME?</v>
      </c>
      <c r="J117" s="8" t="e" cm="1">
        <f t="array" aca="1" ref="J117" ca="1">ZKatzReduced($B117, J$69)</f>
        <v>#NAME?</v>
      </c>
      <c r="K117" s="8" t="e" cm="1">
        <f t="array" aca="1" ref="K117" ca="1">ZKatzReduced($B117, K$69)</f>
        <v>#NAME?</v>
      </c>
      <c r="L117" s="8" t="e" cm="1">
        <f t="array" aca="1" ref="L117" ca="1">ZKatzReduced($B117, L$69)</f>
        <v>#NAME?</v>
      </c>
      <c r="M117" s="8" t="e" cm="1">
        <f t="array" aca="1" ref="M117" ca="1">ZKatzReduced($B117, M$69)</f>
        <v>#NAME?</v>
      </c>
      <c r="N117" s="8" t="e" cm="1">
        <f t="array" aca="1" ref="N117" ca="1">ZKatzReduced($B117, N$69)</f>
        <v>#NAME?</v>
      </c>
      <c r="O117" s="8" t="e" cm="1">
        <f t="array" aca="1" ref="O117" ca="1">ZKatzReduced($B117, O$69)</f>
        <v>#NAME?</v>
      </c>
      <c r="P117" s="8" t="e" cm="1">
        <f t="array" aca="1" ref="P117" ca="1">ZKatzReduced($B117, P$69)</f>
        <v>#NAME?</v>
      </c>
      <c r="Q117" s="8" t="e" cm="1">
        <f t="array" aca="1" ref="Q117" ca="1">ZKatzReduced($B117, Q$69)</f>
        <v>#NAME?</v>
      </c>
      <c r="R117" s="8" t="e" cm="1">
        <f t="array" aca="1" ref="R117" ca="1">ZKatzReduced($B117, R$69)</f>
        <v>#NAME?</v>
      </c>
    </row>
    <row r="118" spans="2:18" x14ac:dyDescent="0.45">
      <c r="B118" s="17">
        <f t="shared" si="13"/>
        <v>4.7999999999999989</v>
      </c>
      <c r="C118" s="8" t="e" cm="1">
        <f t="array" aca="1" ref="C118" ca="1">ZKatzReduced($B118, C$69)</f>
        <v>#NAME?</v>
      </c>
      <c r="D118" s="8" t="e" cm="1">
        <f t="array" aca="1" ref="D118" ca="1">ZKatzReduced($B118, D$69)</f>
        <v>#NAME?</v>
      </c>
      <c r="E118" s="8" t="e" cm="1">
        <f t="array" aca="1" ref="E118" ca="1">ZKatzReduced($B118, E$69)</f>
        <v>#NAME?</v>
      </c>
      <c r="F118" s="8" t="e" cm="1">
        <f t="array" aca="1" ref="F118" ca="1">ZKatzReduced($B118, F$69)</f>
        <v>#NAME?</v>
      </c>
      <c r="G118" s="8" t="e" cm="1">
        <f t="array" aca="1" ref="G118" ca="1">ZKatzReduced($B118, G$69)</f>
        <v>#NAME?</v>
      </c>
      <c r="H118" s="8" t="e" cm="1">
        <f t="array" aca="1" ref="H118" ca="1">ZKatzReduced($B118, H$69)</f>
        <v>#NAME?</v>
      </c>
      <c r="I118" s="8" t="e" cm="1">
        <f t="array" aca="1" ref="I118" ca="1">ZKatzReduced($B118, I$69)</f>
        <v>#NAME?</v>
      </c>
      <c r="J118" s="8" t="e" cm="1">
        <f t="array" aca="1" ref="J118" ca="1">ZKatzReduced($B118, J$69)</f>
        <v>#NAME?</v>
      </c>
      <c r="K118" s="8" t="e" cm="1">
        <f t="array" aca="1" ref="K118" ca="1">ZKatzReduced($B118, K$69)</f>
        <v>#NAME?</v>
      </c>
      <c r="L118" s="8" t="e" cm="1">
        <f t="array" aca="1" ref="L118" ca="1">ZKatzReduced($B118, L$69)</f>
        <v>#NAME?</v>
      </c>
      <c r="M118" s="8" t="e" cm="1">
        <f t="array" aca="1" ref="M118" ca="1">ZKatzReduced($B118, M$69)</f>
        <v>#NAME?</v>
      </c>
      <c r="N118" s="8" t="e" cm="1">
        <f t="array" aca="1" ref="N118" ca="1">ZKatzReduced($B118, N$69)</f>
        <v>#NAME?</v>
      </c>
      <c r="O118" s="8" t="e" cm="1">
        <f t="array" aca="1" ref="O118" ca="1">ZKatzReduced($B118, O$69)</f>
        <v>#NAME?</v>
      </c>
      <c r="P118" s="8" t="e" cm="1">
        <f t="array" aca="1" ref="P118" ca="1">ZKatzReduced($B118, P$69)</f>
        <v>#NAME?</v>
      </c>
      <c r="Q118" s="8" t="e" cm="1">
        <f t="array" aca="1" ref="Q118" ca="1">ZKatzReduced($B118, Q$69)</f>
        <v>#NAME?</v>
      </c>
      <c r="R118" s="8" t="e" cm="1">
        <f t="array" aca="1" ref="R118" ca="1">ZKatzReduced($B118, R$69)</f>
        <v>#NAME?</v>
      </c>
    </row>
    <row r="119" spans="2:18" x14ac:dyDescent="0.45">
      <c r="B119" s="17">
        <f t="shared" si="13"/>
        <v>4.8999999999999986</v>
      </c>
      <c r="C119" s="8" t="e" cm="1">
        <f t="array" aca="1" ref="C119" ca="1">ZKatzReduced($B119, C$69)</f>
        <v>#NAME?</v>
      </c>
      <c r="D119" s="8" t="e" cm="1">
        <f t="array" aca="1" ref="D119" ca="1">ZKatzReduced($B119, D$69)</f>
        <v>#NAME?</v>
      </c>
      <c r="E119" s="8" t="e" cm="1">
        <f t="array" aca="1" ref="E119" ca="1">ZKatzReduced($B119, E$69)</f>
        <v>#NAME?</v>
      </c>
      <c r="F119" s="8" t="e" cm="1">
        <f t="array" aca="1" ref="F119" ca="1">ZKatzReduced($B119, F$69)</f>
        <v>#NAME?</v>
      </c>
      <c r="G119" s="8" t="e" cm="1">
        <f t="array" aca="1" ref="G119" ca="1">ZKatzReduced($B119, G$69)</f>
        <v>#NAME?</v>
      </c>
      <c r="H119" s="8" t="e" cm="1">
        <f t="array" aca="1" ref="H119" ca="1">ZKatzReduced($B119, H$69)</f>
        <v>#NAME?</v>
      </c>
      <c r="I119" s="8" t="e" cm="1">
        <f t="array" aca="1" ref="I119" ca="1">ZKatzReduced($B119, I$69)</f>
        <v>#NAME?</v>
      </c>
      <c r="J119" s="8" t="e" cm="1">
        <f t="array" aca="1" ref="J119" ca="1">ZKatzReduced($B119, J$69)</f>
        <v>#NAME?</v>
      </c>
      <c r="K119" s="8" t="e" cm="1">
        <f t="array" aca="1" ref="K119" ca="1">ZKatzReduced($B119, K$69)</f>
        <v>#NAME?</v>
      </c>
      <c r="L119" s="8" t="e" cm="1">
        <f t="array" aca="1" ref="L119" ca="1">ZKatzReduced($B119, L$69)</f>
        <v>#NAME?</v>
      </c>
      <c r="M119" s="8" t="e" cm="1">
        <f t="array" aca="1" ref="M119" ca="1">ZKatzReduced($B119, M$69)</f>
        <v>#NAME?</v>
      </c>
      <c r="N119" s="8" t="e" cm="1">
        <f t="array" aca="1" ref="N119" ca="1">ZKatzReduced($B119, N$69)</f>
        <v>#NAME?</v>
      </c>
      <c r="O119" s="8" t="e" cm="1">
        <f t="array" aca="1" ref="O119" ca="1">ZKatzReduced($B119, O$69)</f>
        <v>#NAME?</v>
      </c>
      <c r="P119" s="8" t="e" cm="1">
        <f t="array" aca="1" ref="P119" ca="1">ZKatzReduced($B119, P$69)</f>
        <v>#NAME?</v>
      </c>
      <c r="Q119" s="8" t="e" cm="1">
        <f t="array" aca="1" ref="Q119" ca="1">ZKatzReduced($B119, Q$69)</f>
        <v>#NAME?</v>
      </c>
      <c r="R119" s="8" t="e" cm="1">
        <f t="array" aca="1" ref="R119" ca="1">ZKatzReduced($B119, R$69)</f>
        <v>#NAME?</v>
      </c>
    </row>
    <row r="120" spans="2:18" x14ac:dyDescent="0.45">
      <c r="B120" s="17">
        <f t="shared" si="13"/>
        <v>4.9999999999999982</v>
      </c>
      <c r="C120" s="8" t="e" cm="1">
        <f t="array" aca="1" ref="C120" ca="1">ZKatzReduced($B120, C$69)</f>
        <v>#NAME?</v>
      </c>
      <c r="D120" s="8" t="e" cm="1">
        <f t="array" aca="1" ref="D120" ca="1">ZKatzReduced($B120, D$69)</f>
        <v>#NAME?</v>
      </c>
      <c r="E120" s="8" t="e" cm="1">
        <f t="array" aca="1" ref="E120" ca="1">ZKatzReduced($B120, E$69)</f>
        <v>#NAME?</v>
      </c>
      <c r="F120" s="8" t="e" cm="1">
        <f t="array" aca="1" ref="F120" ca="1">ZKatzReduced($B120, F$69)</f>
        <v>#NAME?</v>
      </c>
      <c r="G120" s="8" t="e" cm="1">
        <f t="array" aca="1" ref="G120" ca="1">ZKatzReduced($B120, G$69)</f>
        <v>#NAME?</v>
      </c>
      <c r="H120" s="8" t="e" cm="1">
        <f t="array" aca="1" ref="H120" ca="1">ZKatzReduced($B120, H$69)</f>
        <v>#NAME?</v>
      </c>
      <c r="I120" s="8" t="e" cm="1">
        <f t="array" aca="1" ref="I120" ca="1">ZKatzReduced($B120, I$69)</f>
        <v>#NAME?</v>
      </c>
      <c r="J120" s="8" t="e" cm="1">
        <f t="array" aca="1" ref="J120" ca="1">ZKatzReduced($B120, J$69)</f>
        <v>#NAME?</v>
      </c>
      <c r="K120" s="8" t="e" cm="1">
        <f t="array" aca="1" ref="K120" ca="1">ZKatzReduced($B120, K$69)</f>
        <v>#NAME?</v>
      </c>
      <c r="L120" s="8" t="e" cm="1">
        <f t="array" aca="1" ref="L120" ca="1">ZKatzReduced($B120, L$69)</f>
        <v>#NAME?</v>
      </c>
      <c r="M120" s="8" t="e" cm="1">
        <f t="array" aca="1" ref="M120" ca="1">ZKatzReduced($B120, M$69)</f>
        <v>#NAME?</v>
      </c>
      <c r="N120" s="8" t="e" cm="1">
        <f t="array" aca="1" ref="N120" ca="1">ZKatzReduced($B120, N$69)</f>
        <v>#NAME?</v>
      </c>
      <c r="O120" s="8" t="e" cm="1">
        <f t="array" aca="1" ref="O120" ca="1">ZKatzReduced($B120, O$69)</f>
        <v>#NAME?</v>
      </c>
      <c r="P120" s="8" t="e" cm="1">
        <f t="array" aca="1" ref="P120" ca="1">ZKatzReduced($B120, P$69)</f>
        <v>#NAME?</v>
      </c>
      <c r="Q120" s="8" t="e" cm="1">
        <f t="array" aca="1" ref="Q120" ca="1">ZKatzReduced($B120, Q$69)</f>
        <v>#NAME?</v>
      </c>
      <c r="R120" s="8" t="e" cm="1">
        <f t="array" aca="1" ref="R120" ca="1">ZKatzReduced($B120, R$69)</f>
        <v>#NAME?</v>
      </c>
    </row>
    <row r="121" spans="2:18" x14ac:dyDescent="0.45">
      <c r="B121" s="17">
        <f t="shared" si="13"/>
        <v>5.0999999999999979</v>
      </c>
      <c r="C121" s="8" t="e" cm="1">
        <f t="array" aca="1" ref="C121" ca="1">ZKatzReduced($B121, C$69)</f>
        <v>#NAME?</v>
      </c>
      <c r="D121" s="8" t="e" cm="1">
        <f t="array" aca="1" ref="D121" ca="1">ZKatzReduced($B121, D$69)</f>
        <v>#NAME?</v>
      </c>
      <c r="E121" s="8" t="e" cm="1">
        <f t="array" aca="1" ref="E121" ca="1">ZKatzReduced($B121, E$69)</f>
        <v>#NAME?</v>
      </c>
      <c r="F121" s="8" t="e" cm="1">
        <f t="array" aca="1" ref="F121" ca="1">ZKatzReduced($B121, F$69)</f>
        <v>#NAME?</v>
      </c>
      <c r="G121" s="8" t="e" cm="1">
        <f t="array" aca="1" ref="G121" ca="1">ZKatzReduced($B121, G$69)</f>
        <v>#NAME?</v>
      </c>
      <c r="H121" s="8" t="e" cm="1">
        <f t="array" aca="1" ref="H121" ca="1">ZKatzReduced($B121, H$69)</f>
        <v>#NAME?</v>
      </c>
      <c r="I121" s="8" t="e" cm="1">
        <f t="array" aca="1" ref="I121" ca="1">ZKatzReduced($B121, I$69)</f>
        <v>#NAME?</v>
      </c>
      <c r="J121" s="8" t="e" cm="1">
        <f t="array" aca="1" ref="J121" ca="1">ZKatzReduced($B121, J$69)</f>
        <v>#NAME?</v>
      </c>
      <c r="K121" s="8" t="e" cm="1">
        <f t="array" aca="1" ref="K121" ca="1">ZKatzReduced($B121, K$69)</f>
        <v>#NAME?</v>
      </c>
      <c r="L121" s="8" t="e" cm="1">
        <f t="array" aca="1" ref="L121" ca="1">ZKatzReduced($B121, L$69)</f>
        <v>#NAME?</v>
      </c>
      <c r="M121" s="8" t="e" cm="1">
        <f t="array" aca="1" ref="M121" ca="1">ZKatzReduced($B121, M$69)</f>
        <v>#NAME?</v>
      </c>
      <c r="N121" s="8" t="e" cm="1">
        <f t="array" aca="1" ref="N121" ca="1">ZKatzReduced($B121, N$69)</f>
        <v>#NAME?</v>
      </c>
      <c r="O121" s="8" t="e" cm="1">
        <f t="array" aca="1" ref="O121" ca="1">ZKatzReduced($B121, O$69)</f>
        <v>#NAME?</v>
      </c>
      <c r="P121" s="8" t="e" cm="1">
        <f t="array" aca="1" ref="P121" ca="1">ZKatzReduced($B121, P$69)</f>
        <v>#NAME?</v>
      </c>
      <c r="Q121" s="8" t="e" cm="1">
        <f t="array" aca="1" ref="Q121" ca="1">ZKatzReduced($B121, Q$69)</f>
        <v>#NAME?</v>
      </c>
      <c r="R121" s="8" t="e" cm="1">
        <f t="array" aca="1" ref="R121" ca="1">ZKatzReduced($B121, R$69)</f>
        <v>#NAME?</v>
      </c>
    </row>
    <row r="122" spans="2:18" x14ac:dyDescent="0.45">
      <c r="B122" s="17">
        <f t="shared" si="13"/>
        <v>5.1999999999999975</v>
      </c>
      <c r="C122" s="8" t="e" cm="1">
        <f t="array" aca="1" ref="C122" ca="1">ZKatzReduced($B122, C$69)</f>
        <v>#NAME?</v>
      </c>
      <c r="D122" s="8" t="e" cm="1">
        <f t="array" aca="1" ref="D122" ca="1">ZKatzReduced($B122, D$69)</f>
        <v>#NAME?</v>
      </c>
      <c r="E122" s="8" t="e" cm="1">
        <f t="array" aca="1" ref="E122" ca="1">ZKatzReduced($B122, E$69)</f>
        <v>#NAME?</v>
      </c>
      <c r="F122" s="8" t="e" cm="1">
        <f t="array" aca="1" ref="F122" ca="1">ZKatzReduced($B122, F$69)</f>
        <v>#NAME?</v>
      </c>
      <c r="G122" s="8" t="e" cm="1">
        <f t="array" aca="1" ref="G122" ca="1">ZKatzReduced($B122, G$69)</f>
        <v>#NAME?</v>
      </c>
      <c r="H122" s="8" t="e" cm="1">
        <f t="array" aca="1" ref="H122" ca="1">ZKatzReduced($B122, H$69)</f>
        <v>#NAME?</v>
      </c>
      <c r="I122" s="8" t="e" cm="1">
        <f t="array" aca="1" ref="I122" ca="1">ZKatzReduced($B122, I$69)</f>
        <v>#NAME?</v>
      </c>
      <c r="J122" s="8" t="e" cm="1">
        <f t="array" aca="1" ref="J122" ca="1">ZKatzReduced($B122, J$69)</f>
        <v>#NAME?</v>
      </c>
      <c r="K122" s="8" t="e" cm="1">
        <f t="array" aca="1" ref="K122" ca="1">ZKatzReduced($B122, K$69)</f>
        <v>#NAME?</v>
      </c>
      <c r="L122" s="8" t="e" cm="1">
        <f t="array" aca="1" ref="L122" ca="1">ZKatzReduced($B122, L$69)</f>
        <v>#NAME?</v>
      </c>
      <c r="M122" s="8" t="e" cm="1">
        <f t="array" aca="1" ref="M122" ca="1">ZKatzReduced($B122, M$69)</f>
        <v>#NAME?</v>
      </c>
      <c r="N122" s="8" t="e" cm="1">
        <f t="array" aca="1" ref="N122" ca="1">ZKatzReduced($B122, N$69)</f>
        <v>#NAME?</v>
      </c>
      <c r="O122" s="8" t="e" cm="1">
        <f t="array" aca="1" ref="O122" ca="1">ZKatzReduced($B122, O$69)</f>
        <v>#NAME?</v>
      </c>
      <c r="P122" s="8" t="e" cm="1">
        <f t="array" aca="1" ref="P122" ca="1">ZKatzReduced($B122, P$69)</f>
        <v>#NAME?</v>
      </c>
      <c r="Q122" s="8" t="e" cm="1">
        <f t="array" aca="1" ref="Q122" ca="1">ZKatzReduced($B122, Q$69)</f>
        <v>#NAME?</v>
      </c>
      <c r="R122" s="8" t="e" cm="1">
        <f t="array" aca="1" ref="R122" ca="1">ZKatzReduced($B122, R$69)</f>
        <v>#NAME?</v>
      </c>
    </row>
    <row r="123" spans="2:18" x14ac:dyDescent="0.45">
      <c r="B123" s="17">
        <f t="shared" si="13"/>
        <v>5.2999999999999972</v>
      </c>
      <c r="C123" s="8" t="e" cm="1">
        <f t="array" aca="1" ref="C123" ca="1">ZKatzReduced($B123, C$69)</f>
        <v>#NAME?</v>
      </c>
      <c r="D123" s="8" t="e" cm="1">
        <f t="array" aca="1" ref="D123" ca="1">ZKatzReduced($B123, D$69)</f>
        <v>#NAME?</v>
      </c>
      <c r="E123" s="8" t="e" cm="1">
        <f t="array" aca="1" ref="E123" ca="1">ZKatzReduced($B123, E$69)</f>
        <v>#NAME?</v>
      </c>
      <c r="F123" s="8" t="e" cm="1">
        <f t="array" aca="1" ref="F123" ca="1">ZKatzReduced($B123, F$69)</f>
        <v>#NAME?</v>
      </c>
      <c r="G123" s="8" t="e" cm="1">
        <f t="array" aca="1" ref="G123" ca="1">ZKatzReduced($B123, G$69)</f>
        <v>#NAME?</v>
      </c>
      <c r="H123" s="8" t="e" cm="1">
        <f t="array" aca="1" ref="H123" ca="1">ZKatzReduced($B123, H$69)</f>
        <v>#NAME?</v>
      </c>
      <c r="I123" s="8" t="e" cm="1">
        <f t="array" aca="1" ref="I123" ca="1">ZKatzReduced($B123, I$69)</f>
        <v>#NAME?</v>
      </c>
      <c r="J123" s="8" t="e" cm="1">
        <f t="array" aca="1" ref="J123" ca="1">ZKatzReduced($B123, J$69)</f>
        <v>#NAME?</v>
      </c>
      <c r="K123" s="8" t="e" cm="1">
        <f t="array" aca="1" ref="K123" ca="1">ZKatzReduced($B123, K$69)</f>
        <v>#NAME?</v>
      </c>
      <c r="L123" s="8" t="e" cm="1">
        <f t="array" aca="1" ref="L123" ca="1">ZKatzReduced($B123, L$69)</f>
        <v>#NAME?</v>
      </c>
      <c r="M123" s="8" t="e" cm="1">
        <f t="array" aca="1" ref="M123" ca="1">ZKatzReduced($B123, M$69)</f>
        <v>#NAME?</v>
      </c>
      <c r="N123" s="8" t="e" cm="1">
        <f t="array" aca="1" ref="N123" ca="1">ZKatzReduced($B123, N$69)</f>
        <v>#NAME?</v>
      </c>
      <c r="O123" s="8" t="e" cm="1">
        <f t="array" aca="1" ref="O123" ca="1">ZKatzReduced($B123, O$69)</f>
        <v>#NAME?</v>
      </c>
      <c r="P123" s="8" t="e" cm="1">
        <f t="array" aca="1" ref="P123" ca="1">ZKatzReduced($B123, P$69)</f>
        <v>#NAME?</v>
      </c>
      <c r="Q123" s="8" t="e" cm="1">
        <f t="array" aca="1" ref="Q123" ca="1">ZKatzReduced($B123, Q$69)</f>
        <v>#NAME?</v>
      </c>
      <c r="R123" s="8" t="e" cm="1">
        <f t="array" aca="1" ref="R123" ca="1">ZKatzReduced($B123, R$69)</f>
        <v>#NAME?</v>
      </c>
    </row>
    <row r="124" spans="2:18" x14ac:dyDescent="0.45">
      <c r="B124" s="17">
        <f t="shared" si="13"/>
        <v>5.3999999999999968</v>
      </c>
      <c r="C124" s="8" t="e" cm="1">
        <f t="array" aca="1" ref="C124" ca="1">ZKatzReduced($B124, C$69)</f>
        <v>#NAME?</v>
      </c>
      <c r="D124" s="8" t="e" cm="1">
        <f t="array" aca="1" ref="D124" ca="1">ZKatzReduced($B124, D$69)</f>
        <v>#NAME?</v>
      </c>
      <c r="E124" s="8" t="e" cm="1">
        <f t="array" aca="1" ref="E124" ca="1">ZKatzReduced($B124, E$69)</f>
        <v>#NAME?</v>
      </c>
      <c r="F124" s="8" t="e" cm="1">
        <f t="array" aca="1" ref="F124" ca="1">ZKatzReduced($B124, F$69)</f>
        <v>#NAME?</v>
      </c>
      <c r="G124" s="8" t="e" cm="1">
        <f t="array" aca="1" ref="G124" ca="1">ZKatzReduced($B124, G$69)</f>
        <v>#NAME?</v>
      </c>
      <c r="H124" s="8" t="e" cm="1">
        <f t="array" aca="1" ref="H124" ca="1">ZKatzReduced($B124, H$69)</f>
        <v>#NAME?</v>
      </c>
      <c r="I124" s="8" t="e" cm="1">
        <f t="array" aca="1" ref="I124" ca="1">ZKatzReduced($B124, I$69)</f>
        <v>#NAME?</v>
      </c>
      <c r="J124" s="8" t="e" cm="1">
        <f t="array" aca="1" ref="J124" ca="1">ZKatzReduced($B124, J$69)</f>
        <v>#NAME?</v>
      </c>
      <c r="K124" s="8" t="e" cm="1">
        <f t="array" aca="1" ref="K124" ca="1">ZKatzReduced($B124, K$69)</f>
        <v>#NAME?</v>
      </c>
      <c r="L124" s="8" t="e" cm="1">
        <f t="array" aca="1" ref="L124" ca="1">ZKatzReduced($B124, L$69)</f>
        <v>#NAME?</v>
      </c>
      <c r="M124" s="8" t="e" cm="1">
        <f t="array" aca="1" ref="M124" ca="1">ZKatzReduced($B124, M$69)</f>
        <v>#NAME?</v>
      </c>
      <c r="N124" s="8" t="e" cm="1">
        <f t="array" aca="1" ref="N124" ca="1">ZKatzReduced($B124, N$69)</f>
        <v>#NAME?</v>
      </c>
      <c r="O124" s="8" t="e" cm="1">
        <f t="array" aca="1" ref="O124" ca="1">ZKatzReduced($B124, O$69)</f>
        <v>#NAME?</v>
      </c>
      <c r="P124" s="8" t="e" cm="1">
        <f t="array" aca="1" ref="P124" ca="1">ZKatzReduced($B124, P$69)</f>
        <v>#NAME?</v>
      </c>
      <c r="Q124" s="8" t="e" cm="1">
        <f t="array" aca="1" ref="Q124" ca="1">ZKatzReduced($B124, Q$69)</f>
        <v>#NAME?</v>
      </c>
      <c r="R124" s="8" t="e" cm="1">
        <f t="array" aca="1" ref="R124" ca="1">ZKatzReduced($B124, R$69)</f>
        <v>#NAME?</v>
      </c>
    </row>
    <row r="125" spans="2:18" x14ac:dyDescent="0.45">
      <c r="B125" s="17">
        <f t="shared" si="13"/>
        <v>5.4999999999999964</v>
      </c>
      <c r="C125" s="8" t="e" cm="1">
        <f t="array" aca="1" ref="C125" ca="1">ZKatzReduced($B125, C$69)</f>
        <v>#NAME?</v>
      </c>
      <c r="D125" s="8" t="e" cm="1">
        <f t="array" aca="1" ref="D125" ca="1">ZKatzReduced($B125, D$69)</f>
        <v>#NAME?</v>
      </c>
      <c r="E125" s="8" t="e" cm="1">
        <f t="array" aca="1" ref="E125" ca="1">ZKatzReduced($B125, E$69)</f>
        <v>#NAME?</v>
      </c>
      <c r="F125" s="8" t="e" cm="1">
        <f t="array" aca="1" ref="F125" ca="1">ZKatzReduced($B125, F$69)</f>
        <v>#NAME?</v>
      </c>
      <c r="G125" s="8" t="e" cm="1">
        <f t="array" aca="1" ref="G125" ca="1">ZKatzReduced($B125, G$69)</f>
        <v>#NAME?</v>
      </c>
      <c r="H125" s="8" t="e" cm="1">
        <f t="array" aca="1" ref="H125" ca="1">ZKatzReduced($B125, H$69)</f>
        <v>#NAME?</v>
      </c>
      <c r="I125" s="8" t="e" cm="1">
        <f t="array" aca="1" ref="I125" ca="1">ZKatzReduced($B125, I$69)</f>
        <v>#NAME?</v>
      </c>
      <c r="J125" s="8" t="e" cm="1">
        <f t="array" aca="1" ref="J125" ca="1">ZKatzReduced($B125, J$69)</f>
        <v>#NAME?</v>
      </c>
      <c r="K125" s="8" t="e" cm="1">
        <f t="array" aca="1" ref="K125" ca="1">ZKatzReduced($B125, K$69)</f>
        <v>#NAME?</v>
      </c>
      <c r="L125" s="8" t="e" cm="1">
        <f t="array" aca="1" ref="L125" ca="1">ZKatzReduced($B125, L$69)</f>
        <v>#NAME?</v>
      </c>
      <c r="M125" s="8" t="e" cm="1">
        <f t="array" aca="1" ref="M125" ca="1">ZKatzReduced($B125, M$69)</f>
        <v>#NAME?</v>
      </c>
      <c r="N125" s="8" t="e" cm="1">
        <f t="array" aca="1" ref="N125" ca="1">ZKatzReduced($B125, N$69)</f>
        <v>#NAME?</v>
      </c>
      <c r="O125" s="8" t="e" cm="1">
        <f t="array" aca="1" ref="O125" ca="1">ZKatzReduced($B125, O$69)</f>
        <v>#NAME?</v>
      </c>
      <c r="P125" s="8" t="e" cm="1">
        <f t="array" aca="1" ref="P125" ca="1">ZKatzReduced($B125, P$69)</f>
        <v>#NAME?</v>
      </c>
      <c r="Q125" s="8" t="e" cm="1">
        <f t="array" aca="1" ref="Q125" ca="1">ZKatzReduced($B125, Q$69)</f>
        <v>#NAME?</v>
      </c>
      <c r="R125" s="8" t="e" cm="1">
        <f t="array" aca="1" ref="R125" ca="1">ZKatzReduced($B125, R$69)</f>
        <v>#NAME?</v>
      </c>
    </row>
    <row r="126" spans="2:18" x14ac:dyDescent="0.45">
      <c r="B126" s="17">
        <f t="shared" si="13"/>
        <v>5.5999999999999961</v>
      </c>
      <c r="C126" s="8" t="e" cm="1">
        <f t="array" aca="1" ref="C126" ca="1">ZKatzReduced($B126, C$69)</f>
        <v>#NAME?</v>
      </c>
      <c r="D126" s="8" t="e" cm="1">
        <f t="array" aca="1" ref="D126" ca="1">ZKatzReduced($B126, D$69)</f>
        <v>#NAME?</v>
      </c>
      <c r="E126" s="8" t="e" cm="1">
        <f t="array" aca="1" ref="E126" ca="1">ZKatzReduced($B126, E$69)</f>
        <v>#NAME?</v>
      </c>
      <c r="F126" s="8" t="e" cm="1">
        <f t="array" aca="1" ref="F126" ca="1">ZKatzReduced($B126, F$69)</f>
        <v>#NAME?</v>
      </c>
      <c r="G126" s="8" t="e" cm="1">
        <f t="array" aca="1" ref="G126" ca="1">ZKatzReduced($B126, G$69)</f>
        <v>#NAME?</v>
      </c>
      <c r="H126" s="8" t="e" cm="1">
        <f t="array" aca="1" ref="H126" ca="1">ZKatzReduced($B126, H$69)</f>
        <v>#NAME?</v>
      </c>
      <c r="I126" s="8" t="e" cm="1">
        <f t="array" aca="1" ref="I126" ca="1">ZKatzReduced($B126, I$69)</f>
        <v>#NAME?</v>
      </c>
      <c r="J126" s="8" t="e" cm="1">
        <f t="array" aca="1" ref="J126" ca="1">ZKatzReduced($B126, J$69)</f>
        <v>#NAME?</v>
      </c>
      <c r="K126" s="8" t="e" cm="1">
        <f t="array" aca="1" ref="K126" ca="1">ZKatzReduced($B126, K$69)</f>
        <v>#NAME?</v>
      </c>
      <c r="L126" s="8" t="e" cm="1">
        <f t="array" aca="1" ref="L126" ca="1">ZKatzReduced($B126, L$69)</f>
        <v>#NAME?</v>
      </c>
      <c r="M126" s="8" t="e" cm="1">
        <f t="array" aca="1" ref="M126" ca="1">ZKatzReduced($B126, M$69)</f>
        <v>#NAME?</v>
      </c>
      <c r="N126" s="8" t="e" cm="1">
        <f t="array" aca="1" ref="N126" ca="1">ZKatzReduced($B126, N$69)</f>
        <v>#NAME?</v>
      </c>
      <c r="O126" s="8" t="e" cm="1">
        <f t="array" aca="1" ref="O126" ca="1">ZKatzReduced($B126, O$69)</f>
        <v>#NAME?</v>
      </c>
      <c r="P126" s="8" t="e" cm="1">
        <f t="array" aca="1" ref="P126" ca="1">ZKatzReduced($B126, P$69)</f>
        <v>#NAME?</v>
      </c>
      <c r="Q126" s="8" t="e" cm="1">
        <f t="array" aca="1" ref="Q126" ca="1">ZKatzReduced($B126, Q$69)</f>
        <v>#NAME?</v>
      </c>
      <c r="R126" s="8" t="e" cm="1">
        <f t="array" aca="1" ref="R126" ca="1">ZKatzReduced($B126, R$69)</f>
        <v>#NAME?</v>
      </c>
    </row>
    <row r="127" spans="2:18" x14ac:dyDescent="0.45">
      <c r="B127" s="17">
        <f t="shared" si="13"/>
        <v>5.6999999999999957</v>
      </c>
      <c r="C127" s="8" t="e" cm="1">
        <f t="array" aca="1" ref="C127" ca="1">ZKatzReduced($B127, C$69)</f>
        <v>#NAME?</v>
      </c>
      <c r="D127" s="8" t="e" cm="1">
        <f t="array" aca="1" ref="D127" ca="1">ZKatzReduced($B127, D$69)</f>
        <v>#NAME?</v>
      </c>
      <c r="E127" s="8" t="e" cm="1">
        <f t="array" aca="1" ref="E127" ca="1">ZKatzReduced($B127, E$69)</f>
        <v>#NAME?</v>
      </c>
      <c r="F127" s="8" t="e" cm="1">
        <f t="array" aca="1" ref="F127" ca="1">ZKatzReduced($B127, F$69)</f>
        <v>#NAME?</v>
      </c>
      <c r="G127" s="8" t="e" cm="1">
        <f t="array" aca="1" ref="G127" ca="1">ZKatzReduced($B127, G$69)</f>
        <v>#NAME?</v>
      </c>
      <c r="H127" s="8" t="e" cm="1">
        <f t="array" aca="1" ref="H127" ca="1">ZKatzReduced($B127, H$69)</f>
        <v>#NAME?</v>
      </c>
      <c r="I127" s="8" t="e" cm="1">
        <f t="array" aca="1" ref="I127" ca="1">ZKatzReduced($B127, I$69)</f>
        <v>#NAME?</v>
      </c>
      <c r="J127" s="8" t="e" cm="1">
        <f t="array" aca="1" ref="J127" ca="1">ZKatzReduced($B127, J$69)</f>
        <v>#NAME?</v>
      </c>
      <c r="K127" s="8" t="e" cm="1">
        <f t="array" aca="1" ref="K127" ca="1">ZKatzReduced($B127, K$69)</f>
        <v>#NAME?</v>
      </c>
      <c r="L127" s="8" t="e" cm="1">
        <f t="array" aca="1" ref="L127" ca="1">ZKatzReduced($B127, L$69)</f>
        <v>#NAME?</v>
      </c>
      <c r="M127" s="8" t="e" cm="1">
        <f t="array" aca="1" ref="M127" ca="1">ZKatzReduced($B127, M$69)</f>
        <v>#NAME?</v>
      </c>
      <c r="N127" s="8" t="e" cm="1">
        <f t="array" aca="1" ref="N127" ca="1">ZKatzReduced($B127, N$69)</f>
        <v>#NAME?</v>
      </c>
      <c r="O127" s="8" t="e" cm="1">
        <f t="array" aca="1" ref="O127" ca="1">ZKatzReduced($B127, O$69)</f>
        <v>#NAME?</v>
      </c>
      <c r="P127" s="8" t="e" cm="1">
        <f t="array" aca="1" ref="P127" ca="1">ZKatzReduced($B127, P$69)</f>
        <v>#NAME?</v>
      </c>
      <c r="Q127" s="8" t="e" cm="1">
        <f t="array" aca="1" ref="Q127" ca="1">ZKatzReduced($B127, Q$69)</f>
        <v>#NAME?</v>
      </c>
      <c r="R127" s="8" t="e" cm="1">
        <f t="array" aca="1" ref="R127" ca="1">ZKatzReduced($B127, R$69)</f>
        <v>#NAME?</v>
      </c>
    </row>
    <row r="128" spans="2:18" x14ac:dyDescent="0.45">
      <c r="B128" s="17">
        <f t="shared" si="13"/>
        <v>5.7999999999999954</v>
      </c>
      <c r="C128" s="8" t="e" cm="1">
        <f t="array" aca="1" ref="C128" ca="1">ZKatzReduced($B128, C$69)</f>
        <v>#NAME?</v>
      </c>
      <c r="D128" s="8" t="e" cm="1">
        <f t="array" aca="1" ref="D128" ca="1">ZKatzReduced($B128, D$69)</f>
        <v>#NAME?</v>
      </c>
      <c r="E128" s="8" t="e" cm="1">
        <f t="array" aca="1" ref="E128" ca="1">ZKatzReduced($B128, E$69)</f>
        <v>#NAME?</v>
      </c>
      <c r="F128" s="8" t="e" cm="1">
        <f t="array" aca="1" ref="F128" ca="1">ZKatzReduced($B128, F$69)</f>
        <v>#NAME?</v>
      </c>
      <c r="G128" s="8" t="e" cm="1">
        <f t="array" aca="1" ref="G128" ca="1">ZKatzReduced($B128, G$69)</f>
        <v>#NAME?</v>
      </c>
      <c r="H128" s="8" t="e" cm="1">
        <f t="array" aca="1" ref="H128" ca="1">ZKatzReduced($B128, H$69)</f>
        <v>#NAME?</v>
      </c>
      <c r="I128" s="8" t="e" cm="1">
        <f t="array" aca="1" ref="I128" ca="1">ZKatzReduced($B128, I$69)</f>
        <v>#NAME?</v>
      </c>
      <c r="J128" s="8" t="e" cm="1">
        <f t="array" aca="1" ref="J128" ca="1">ZKatzReduced($B128, J$69)</f>
        <v>#NAME?</v>
      </c>
      <c r="K128" s="8" t="e" cm="1">
        <f t="array" aca="1" ref="K128" ca="1">ZKatzReduced($B128, K$69)</f>
        <v>#NAME?</v>
      </c>
      <c r="L128" s="8" t="e" cm="1">
        <f t="array" aca="1" ref="L128" ca="1">ZKatzReduced($B128, L$69)</f>
        <v>#NAME?</v>
      </c>
      <c r="M128" s="8" t="e" cm="1">
        <f t="array" aca="1" ref="M128" ca="1">ZKatzReduced($B128, M$69)</f>
        <v>#NAME?</v>
      </c>
      <c r="N128" s="8" t="e" cm="1">
        <f t="array" aca="1" ref="N128" ca="1">ZKatzReduced($B128, N$69)</f>
        <v>#NAME?</v>
      </c>
      <c r="O128" s="8" t="e" cm="1">
        <f t="array" aca="1" ref="O128" ca="1">ZKatzReduced($B128, O$69)</f>
        <v>#NAME?</v>
      </c>
      <c r="P128" s="8" t="e" cm="1">
        <f t="array" aca="1" ref="P128" ca="1">ZKatzReduced($B128, P$69)</f>
        <v>#NAME?</v>
      </c>
      <c r="Q128" s="8" t="e" cm="1">
        <f t="array" aca="1" ref="Q128" ca="1">ZKatzReduced($B128, Q$69)</f>
        <v>#NAME?</v>
      </c>
      <c r="R128" s="8" t="e" cm="1">
        <f t="array" aca="1" ref="R128" ca="1">ZKatzReduced($B128, R$69)</f>
        <v>#NAME?</v>
      </c>
    </row>
    <row r="129" spans="2:18" x14ac:dyDescent="0.45">
      <c r="B129" s="17">
        <f t="shared" si="13"/>
        <v>5.899999999999995</v>
      </c>
      <c r="C129" s="8" t="e" cm="1">
        <f t="array" aca="1" ref="C129" ca="1">ZKatzReduced($B129, C$69)</f>
        <v>#NAME?</v>
      </c>
      <c r="D129" s="8" t="e" cm="1">
        <f t="array" aca="1" ref="D129" ca="1">ZKatzReduced($B129, D$69)</f>
        <v>#NAME?</v>
      </c>
      <c r="E129" s="8" t="e" cm="1">
        <f t="array" aca="1" ref="E129" ca="1">ZKatzReduced($B129, E$69)</f>
        <v>#NAME?</v>
      </c>
      <c r="F129" s="8" t="e" cm="1">
        <f t="array" aca="1" ref="F129" ca="1">ZKatzReduced($B129, F$69)</f>
        <v>#NAME?</v>
      </c>
      <c r="G129" s="8" t="e" cm="1">
        <f t="array" aca="1" ref="G129" ca="1">ZKatzReduced($B129, G$69)</f>
        <v>#NAME?</v>
      </c>
      <c r="H129" s="8" t="e" cm="1">
        <f t="array" aca="1" ref="H129" ca="1">ZKatzReduced($B129, H$69)</f>
        <v>#NAME?</v>
      </c>
      <c r="I129" s="8" t="e" cm="1">
        <f t="array" aca="1" ref="I129" ca="1">ZKatzReduced($B129, I$69)</f>
        <v>#NAME?</v>
      </c>
      <c r="J129" s="8" t="e" cm="1">
        <f t="array" aca="1" ref="J129" ca="1">ZKatzReduced($B129, J$69)</f>
        <v>#NAME?</v>
      </c>
      <c r="K129" s="8" t="e" cm="1">
        <f t="array" aca="1" ref="K129" ca="1">ZKatzReduced($B129, K$69)</f>
        <v>#NAME?</v>
      </c>
      <c r="L129" s="8" t="e" cm="1">
        <f t="array" aca="1" ref="L129" ca="1">ZKatzReduced($B129, L$69)</f>
        <v>#NAME?</v>
      </c>
      <c r="M129" s="8" t="e" cm="1">
        <f t="array" aca="1" ref="M129" ca="1">ZKatzReduced($B129, M$69)</f>
        <v>#NAME?</v>
      </c>
      <c r="N129" s="8" t="e" cm="1">
        <f t="array" aca="1" ref="N129" ca="1">ZKatzReduced($B129, N$69)</f>
        <v>#NAME?</v>
      </c>
      <c r="O129" s="8" t="e" cm="1">
        <f t="array" aca="1" ref="O129" ca="1">ZKatzReduced($B129, O$69)</f>
        <v>#NAME?</v>
      </c>
      <c r="P129" s="8" t="e" cm="1">
        <f t="array" aca="1" ref="P129" ca="1">ZKatzReduced($B129, P$69)</f>
        <v>#NAME?</v>
      </c>
      <c r="Q129" s="8" t="e" cm="1">
        <f t="array" aca="1" ref="Q129" ca="1">ZKatzReduced($B129, Q$69)</f>
        <v>#NAME?</v>
      </c>
      <c r="R129" s="8" t="e" cm="1">
        <f t="array" aca="1" ref="R129" ca="1">ZKatzReduced($B129, R$69)</f>
        <v>#NAME?</v>
      </c>
    </row>
    <row r="130" spans="2:18" x14ac:dyDescent="0.45">
      <c r="B130" s="17">
        <f t="shared" si="13"/>
        <v>5.9999999999999947</v>
      </c>
      <c r="C130" s="8" t="e" cm="1">
        <f t="array" aca="1" ref="C130" ca="1">ZKatzReduced($B130, C$69)</f>
        <v>#NAME?</v>
      </c>
      <c r="D130" s="8" t="e" cm="1">
        <f t="array" aca="1" ref="D130" ca="1">ZKatzReduced($B130, D$69)</f>
        <v>#NAME?</v>
      </c>
      <c r="E130" s="8" t="e" cm="1">
        <f t="array" aca="1" ref="E130" ca="1">ZKatzReduced($B130, E$69)</f>
        <v>#NAME?</v>
      </c>
      <c r="F130" s="8" t="e" cm="1">
        <f t="array" aca="1" ref="F130" ca="1">ZKatzReduced($B130, F$69)</f>
        <v>#NAME?</v>
      </c>
      <c r="G130" s="8" t="e" cm="1">
        <f t="array" aca="1" ref="G130" ca="1">ZKatzReduced($B130, G$69)</f>
        <v>#NAME?</v>
      </c>
      <c r="H130" s="8" t="e" cm="1">
        <f t="array" aca="1" ref="H130" ca="1">ZKatzReduced($B130, H$69)</f>
        <v>#NAME?</v>
      </c>
      <c r="I130" s="8" t="e" cm="1">
        <f t="array" aca="1" ref="I130" ca="1">ZKatzReduced($B130, I$69)</f>
        <v>#NAME?</v>
      </c>
      <c r="J130" s="8" t="e" cm="1">
        <f t="array" aca="1" ref="J130" ca="1">ZKatzReduced($B130, J$69)</f>
        <v>#NAME?</v>
      </c>
      <c r="K130" s="8" t="e" cm="1">
        <f t="array" aca="1" ref="K130" ca="1">ZKatzReduced($B130, K$69)</f>
        <v>#NAME?</v>
      </c>
      <c r="L130" s="8" t="e" cm="1">
        <f t="array" aca="1" ref="L130" ca="1">ZKatzReduced($B130, L$69)</f>
        <v>#NAME?</v>
      </c>
      <c r="M130" s="8" t="e" cm="1">
        <f t="array" aca="1" ref="M130" ca="1">ZKatzReduced($B130, M$69)</f>
        <v>#NAME?</v>
      </c>
      <c r="N130" s="8" t="e" cm="1">
        <f t="array" aca="1" ref="N130" ca="1">ZKatzReduced($B130, N$69)</f>
        <v>#NAME?</v>
      </c>
      <c r="O130" s="8" t="e" cm="1">
        <f t="array" aca="1" ref="O130" ca="1">ZKatzReduced($B130, O$69)</f>
        <v>#NAME?</v>
      </c>
      <c r="P130" s="8" t="e" cm="1">
        <f t="array" aca="1" ref="P130" ca="1">ZKatzReduced($B130, P$69)</f>
        <v>#NAME?</v>
      </c>
      <c r="Q130" s="8" t="e" cm="1">
        <f t="array" aca="1" ref="Q130" ca="1">ZKatzReduced($B130, Q$69)</f>
        <v>#NAME?</v>
      </c>
      <c r="R130" s="8" t="e" cm="1">
        <f t="array" aca="1" ref="R130" ca="1">ZKatzReduced($B130, R$69)</f>
        <v>#NAME?</v>
      </c>
    </row>
    <row r="131" spans="2:18" x14ac:dyDescent="0.45">
      <c r="B131" s="17">
        <f t="shared" si="13"/>
        <v>6.0999999999999943</v>
      </c>
      <c r="C131" s="8" t="e" cm="1">
        <f t="array" aca="1" ref="C131" ca="1">ZKatzReduced($B131, C$69)</f>
        <v>#NAME?</v>
      </c>
      <c r="D131" s="8" t="e" cm="1">
        <f t="array" aca="1" ref="D131" ca="1">ZKatzReduced($B131, D$69)</f>
        <v>#NAME?</v>
      </c>
      <c r="E131" s="8" t="e" cm="1">
        <f t="array" aca="1" ref="E131" ca="1">ZKatzReduced($B131, E$69)</f>
        <v>#NAME?</v>
      </c>
      <c r="F131" s="8" t="e" cm="1">
        <f t="array" aca="1" ref="F131" ca="1">ZKatzReduced($B131, F$69)</f>
        <v>#NAME?</v>
      </c>
      <c r="G131" s="8" t="e" cm="1">
        <f t="array" aca="1" ref="G131" ca="1">ZKatzReduced($B131, G$69)</f>
        <v>#NAME?</v>
      </c>
      <c r="H131" s="8" t="e" cm="1">
        <f t="array" aca="1" ref="H131" ca="1">ZKatzReduced($B131, H$69)</f>
        <v>#NAME?</v>
      </c>
      <c r="I131" s="8" t="e" cm="1">
        <f t="array" aca="1" ref="I131" ca="1">ZKatzReduced($B131, I$69)</f>
        <v>#NAME?</v>
      </c>
      <c r="J131" s="8" t="e" cm="1">
        <f t="array" aca="1" ref="J131" ca="1">ZKatzReduced($B131, J$69)</f>
        <v>#NAME?</v>
      </c>
      <c r="K131" s="8" t="e" cm="1">
        <f t="array" aca="1" ref="K131" ca="1">ZKatzReduced($B131, K$69)</f>
        <v>#NAME?</v>
      </c>
      <c r="L131" s="8" t="e" cm="1">
        <f t="array" aca="1" ref="L131" ca="1">ZKatzReduced($B131, L$69)</f>
        <v>#NAME?</v>
      </c>
      <c r="M131" s="8" t="e" cm="1">
        <f t="array" aca="1" ref="M131" ca="1">ZKatzReduced($B131, M$69)</f>
        <v>#NAME?</v>
      </c>
      <c r="N131" s="8" t="e" cm="1">
        <f t="array" aca="1" ref="N131" ca="1">ZKatzReduced($B131, N$69)</f>
        <v>#NAME?</v>
      </c>
      <c r="O131" s="8" t="e" cm="1">
        <f t="array" aca="1" ref="O131" ca="1">ZKatzReduced($B131, O$69)</f>
        <v>#NAME?</v>
      </c>
      <c r="P131" s="8" t="e" cm="1">
        <f t="array" aca="1" ref="P131" ca="1">ZKatzReduced($B131, P$69)</f>
        <v>#NAME?</v>
      </c>
      <c r="Q131" s="8" t="e" cm="1">
        <f t="array" aca="1" ref="Q131" ca="1">ZKatzReduced($B131, Q$69)</f>
        <v>#NAME?</v>
      </c>
      <c r="R131" s="8" t="e" cm="1">
        <f t="array" aca="1" ref="R131" ca="1">ZKatzReduced($B131, R$69)</f>
        <v>#NAME?</v>
      </c>
    </row>
    <row r="132" spans="2:18" x14ac:dyDescent="0.45">
      <c r="B132" s="17">
        <f t="shared" si="13"/>
        <v>6.199999999999994</v>
      </c>
      <c r="C132" s="8" t="e" cm="1">
        <f t="array" aca="1" ref="C132" ca="1">ZKatzReduced($B132, C$69)</f>
        <v>#NAME?</v>
      </c>
      <c r="D132" s="8" t="e" cm="1">
        <f t="array" aca="1" ref="D132" ca="1">ZKatzReduced($B132, D$69)</f>
        <v>#NAME?</v>
      </c>
      <c r="E132" s="8" t="e" cm="1">
        <f t="array" aca="1" ref="E132" ca="1">ZKatzReduced($B132, E$69)</f>
        <v>#NAME?</v>
      </c>
      <c r="F132" s="8" t="e" cm="1">
        <f t="array" aca="1" ref="F132" ca="1">ZKatzReduced($B132, F$69)</f>
        <v>#NAME?</v>
      </c>
      <c r="G132" s="8" t="e" cm="1">
        <f t="array" aca="1" ref="G132" ca="1">ZKatzReduced($B132, G$69)</f>
        <v>#NAME?</v>
      </c>
      <c r="H132" s="8" t="e" cm="1">
        <f t="array" aca="1" ref="H132" ca="1">ZKatzReduced($B132, H$69)</f>
        <v>#NAME?</v>
      </c>
      <c r="I132" s="8" t="e" cm="1">
        <f t="array" aca="1" ref="I132" ca="1">ZKatzReduced($B132, I$69)</f>
        <v>#NAME?</v>
      </c>
      <c r="J132" s="8" t="e" cm="1">
        <f t="array" aca="1" ref="J132" ca="1">ZKatzReduced($B132, J$69)</f>
        <v>#NAME?</v>
      </c>
      <c r="K132" s="8" t="e" cm="1">
        <f t="array" aca="1" ref="K132" ca="1">ZKatzReduced($B132, K$69)</f>
        <v>#NAME?</v>
      </c>
      <c r="L132" s="8" t="e" cm="1">
        <f t="array" aca="1" ref="L132" ca="1">ZKatzReduced($B132, L$69)</f>
        <v>#NAME?</v>
      </c>
      <c r="M132" s="8" t="e" cm="1">
        <f t="array" aca="1" ref="M132" ca="1">ZKatzReduced($B132, M$69)</f>
        <v>#NAME?</v>
      </c>
      <c r="N132" s="8" t="e" cm="1">
        <f t="array" aca="1" ref="N132" ca="1">ZKatzReduced($B132, N$69)</f>
        <v>#NAME?</v>
      </c>
      <c r="O132" s="8" t="e" cm="1">
        <f t="array" aca="1" ref="O132" ca="1">ZKatzReduced($B132, O$69)</f>
        <v>#NAME?</v>
      </c>
      <c r="P132" s="8" t="e" cm="1">
        <f t="array" aca="1" ref="P132" ca="1">ZKatzReduced($B132, P$69)</f>
        <v>#NAME?</v>
      </c>
      <c r="Q132" s="8" t="e" cm="1">
        <f t="array" aca="1" ref="Q132" ca="1">ZKatzReduced($B132, Q$69)</f>
        <v>#NAME?</v>
      </c>
      <c r="R132" s="8" t="e" cm="1">
        <f t="array" aca="1" ref="R132" ca="1">ZKatzReduced($B132, R$69)</f>
        <v>#NAME?</v>
      </c>
    </row>
    <row r="133" spans="2:18" x14ac:dyDescent="0.45">
      <c r="B133" s="17">
        <f t="shared" si="13"/>
        <v>6.2999999999999936</v>
      </c>
      <c r="C133" s="8" t="e" cm="1">
        <f t="array" aca="1" ref="C133" ca="1">ZKatzReduced($B133, C$69)</f>
        <v>#NAME?</v>
      </c>
      <c r="D133" s="8" t="e" cm="1">
        <f t="array" aca="1" ref="D133" ca="1">ZKatzReduced($B133, D$69)</f>
        <v>#NAME?</v>
      </c>
      <c r="E133" s="8" t="e" cm="1">
        <f t="array" aca="1" ref="E133" ca="1">ZKatzReduced($B133, E$69)</f>
        <v>#NAME?</v>
      </c>
      <c r="F133" s="8" t="e" cm="1">
        <f t="array" aca="1" ref="F133" ca="1">ZKatzReduced($B133, F$69)</f>
        <v>#NAME?</v>
      </c>
      <c r="G133" s="8" t="e" cm="1">
        <f t="array" aca="1" ref="G133" ca="1">ZKatzReduced($B133, G$69)</f>
        <v>#NAME?</v>
      </c>
      <c r="H133" s="8" t="e" cm="1">
        <f t="array" aca="1" ref="H133" ca="1">ZKatzReduced($B133, H$69)</f>
        <v>#NAME?</v>
      </c>
      <c r="I133" s="8" t="e" cm="1">
        <f t="array" aca="1" ref="I133" ca="1">ZKatzReduced($B133, I$69)</f>
        <v>#NAME?</v>
      </c>
      <c r="J133" s="8" t="e" cm="1">
        <f t="array" aca="1" ref="J133" ca="1">ZKatzReduced($B133, J$69)</f>
        <v>#NAME?</v>
      </c>
      <c r="K133" s="8" t="e" cm="1">
        <f t="array" aca="1" ref="K133" ca="1">ZKatzReduced($B133, K$69)</f>
        <v>#NAME?</v>
      </c>
      <c r="L133" s="8" t="e" cm="1">
        <f t="array" aca="1" ref="L133" ca="1">ZKatzReduced($B133, L$69)</f>
        <v>#NAME?</v>
      </c>
      <c r="M133" s="8" t="e" cm="1">
        <f t="array" aca="1" ref="M133" ca="1">ZKatzReduced($B133, M$69)</f>
        <v>#NAME?</v>
      </c>
      <c r="N133" s="8" t="e" cm="1">
        <f t="array" aca="1" ref="N133" ca="1">ZKatzReduced($B133, N$69)</f>
        <v>#NAME?</v>
      </c>
      <c r="O133" s="8" t="e" cm="1">
        <f t="array" aca="1" ref="O133" ca="1">ZKatzReduced($B133, O$69)</f>
        <v>#NAME?</v>
      </c>
      <c r="P133" s="8" t="e" cm="1">
        <f t="array" aca="1" ref="P133" ca="1">ZKatzReduced($B133, P$69)</f>
        <v>#NAME?</v>
      </c>
      <c r="Q133" s="8" t="e" cm="1">
        <f t="array" aca="1" ref="Q133" ca="1">ZKatzReduced($B133, Q$69)</f>
        <v>#NAME?</v>
      </c>
      <c r="R133" s="8" t="e" cm="1">
        <f t="array" aca="1" ref="R133" ca="1">ZKatzReduced($B133, R$69)</f>
        <v>#NAME?</v>
      </c>
    </row>
    <row r="134" spans="2:18" x14ac:dyDescent="0.45">
      <c r="B134" s="17">
        <f t="shared" si="13"/>
        <v>6.3999999999999932</v>
      </c>
      <c r="C134" s="8" t="e" cm="1">
        <f t="array" aca="1" ref="C134" ca="1">ZKatzReduced($B134, C$69)</f>
        <v>#NAME?</v>
      </c>
      <c r="D134" s="8" t="e" cm="1">
        <f t="array" aca="1" ref="D134" ca="1">ZKatzReduced($B134, D$69)</f>
        <v>#NAME?</v>
      </c>
      <c r="E134" s="8" t="e" cm="1">
        <f t="array" aca="1" ref="E134" ca="1">ZKatzReduced($B134, E$69)</f>
        <v>#NAME?</v>
      </c>
      <c r="F134" s="8" t="e" cm="1">
        <f t="array" aca="1" ref="F134" ca="1">ZKatzReduced($B134, F$69)</f>
        <v>#NAME?</v>
      </c>
      <c r="G134" s="8" t="e" cm="1">
        <f t="array" aca="1" ref="G134" ca="1">ZKatzReduced($B134, G$69)</f>
        <v>#NAME?</v>
      </c>
      <c r="H134" s="8" t="e" cm="1">
        <f t="array" aca="1" ref="H134" ca="1">ZKatzReduced($B134, H$69)</f>
        <v>#NAME?</v>
      </c>
      <c r="I134" s="8" t="e" cm="1">
        <f t="array" aca="1" ref="I134" ca="1">ZKatzReduced($B134, I$69)</f>
        <v>#NAME?</v>
      </c>
      <c r="J134" s="8" t="e" cm="1">
        <f t="array" aca="1" ref="J134" ca="1">ZKatzReduced($B134, J$69)</f>
        <v>#NAME?</v>
      </c>
      <c r="K134" s="8" t="e" cm="1">
        <f t="array" aca="1" ref="K134" ca="1">ZKatzReduced($B134, K$69)</f>
        <v>#NAME?</v>
      </c>
      <c r="L134" s="8" t="e" cm="1">
        <f t="array" aca="1" ref="L134" ca="1">ZKatzReduced($B134, L$69)</f>
        <v>#NAME?</v>
      </c>
      <c r="M134" s="8" t="e" cm="1">
        <f t="array" aca="1" ref="M134" ca="1">ZKatzReduced($B134, M$69)</f>
        <v>#NAME?</v>
      </c>
      <c r="N134" s="8" t="e" cm="1">
        <f t="array" aca="1" ref="N134" ca="1">ZKatzReduced($B134, N$69)</f>
        <v>#NAME?</v>
      </c>
      <c r="O134" s="8" t="e" cm="1">
        <f t="array" aca="1" ref="O134" ca="1">ZKatzReduced($B134, O$69)</f>
        <v>#NAME?</v>
      </c>
      <c r="P134" s="8" t="e" cm="1">
        <f t="array" aca="1" ref="P134" ca="1">ZKatzReduced($B134, P$69)</f>
        <v>#NAME?</v>
      </c>
      <c r="Q134" s="8" t="e" cm="1">
        <f t="array" aca="1" ref="Q134" ca="1">ZKatzReduced($B134, Q$69)</f>
        <v>#NAME?</v>
      </c>
      <c r="R134" s="8" t="e" cm="1">
        <f t="array" aca="1" ref="R134" ca="1">ZKatzReduced($B134, R$69)</f>
        <v>#NAME?</v>
      </c>
    </row>
    <row r="135" spans="2:18" x14ac:dyDescent="0.45">
      <c r="B135" s="17">
        <f t="shared" si="13"/>
        <v>6.4999999999999929</v>
      </c>
      <c r="C135" s="8" t="e" cm="1">
        <f t="array" aca="1" ref="C135" ca="1">ZKatzReduced($B135, C$69)</f>
        <v>#NAME?</v>
      </c>
      <c r="D135" s="8" t="e" cm="1">
        <f t="array" aca="1" ref="D135" ca="1">ZKatzReduced($B135, D$69)</f>
        <v>#NAME?</v>
      </c>
      <c r="E135" s="8" t="e" cm="1">
        <f t="array" aca="1" ref="E135" ca="1">ZKatzReduced($B135, E$69)</f>
        <v>#NAME?</v>
      </c>
      <c r="F135" s="8" t="e" cm="1">
        <f t="array" aca="1" ref="F135" ca="1">ZKatzReduced($B135, F$69)</f>
        <v>#NAME?</v>
      </c>
      <c r="G135" s="8" t="e" cm="1">
        <f t="array" aca="1" ref="G135" ca="1">ZKatzReduced($B135, G$69)</f>
        <v>#NAME?</v>
      </c>
      <c r="H135" s="8" t="e" cm="1">
        <f t="array" aca="1" ref="H135" ca="1">ZKatzReduced($B135, H$69)</f>
        <v>#NAME?</v>
      </c>
      <c r="I135" s="8" t="e" cm="1">
        <f t="array" aca="1" ref="I135" ca="1">ZKatzReduced($B135, I$69)</f>
        <v>#NAME?</v>
      </c>
      <c r="J135" s="8" t="e" cm="1">
        <f t="array" aca="1" ref="J135" ca="1">ZKatzReduced($B135, J$69)</f>
        <v>#NAME?</v>
      </c>
      <c r="K135" s="8" t="e" cm="1">
        <f t="array" aca="1" ref="K135" ca="1">ZKatzReduced($B135, K$69)</f>
        <v>#NAME?</v>
      </c>
      <c r="L135" s="8" t="e" cm="1">
        <f t="array" aca="1" ref="L135" ca="1">ZKatzReduced($B135, L$69)</f>
        <v>#NAME?</v>
      </c>
      <c r="M135" s="8" t="e" cm="1">
        <f t="array" aca="1" ref="M135" ca="1">ZKatzReduced($B135, M$69)</f>
        <v>#NAME?</v>
      </c>
      <c r="N135" s="8" t="e" cm="1">
        <f t="array" aca="1" ref="N135" ca="1">ZKatzReduced($B135, N$69)</f>
        <v>#NAME?</v>
      </c>
      <c r="O135" s="8" t="e" cm="1">
        <f t="array" aca="1" ref="O135" ca="1">ZKatzReduced($B135, O$69)</f>
        <v>#NAME?</v>
      </c>
      <c r="P135" s="8" t="e" cm="1">
        <f t="array" aca="1" ref="P135" ca="1">ZKatzReduced($B135, P$69)</f>
        <v>#NAME?</v>
      </c>
      <c r="Q135" s="8" t="e" cm="1">
        <f t="array" aca="1" ref="Q135" ca="1">ZKatzReduced($B135, Q$69)</f>
        <v>#NAME?</v>
      </c>
      <c r="R135" s="8" t="e" cm="1">
        <f t="array" aca="1" ref="R135" ca="1">ZKatzReduced($B135, R$69)</f>
        <v>#NAME?</v>
      </c>
    </row>
    <row r="136" spans="2:18" x14ac:dyDescent="0.45">
      <c r="B136" s="17">
        <f t="shared" ref="B136:B199" si="14">B135+0.1</f>
        <v>6.5999999999999925</v>
      </c>
      <c r="C136" s="8" t="e" cm="1">
        <f t="array" aca="1" ref="C136" ca="1">ZKatzReduced($B136, C$69)</f>
        <v>#NAME?</v>
      </c>
      <c r="D136" s="8" t="e" cm="1">
        <f t="array" aca="1" ref="D136" ca="1">ZKatzReduced($B136, D$69)</f>
        <v>#NAME?</v>
      </c>
      <c r="E136" s="8" t="e" cm="1">
        <f t="array" aca="1" ref="E136" ca="1">ZKatzReduced($B136, E$69)</f>
        <v>#NAME?</v>
      </c>
      <c r="F136" s="8" t="e" cm="1">
        <f t="array" aca="1" ref="F136" ca="1">ZKatzReduced($B136, F$69)</f>
        <v>#NAME?</v>
      </c>
      <c r="G136" s="8" t="e" cm="1">
        <f t="array" aca="1" ref="G136" ca="1">ZKatzReduced($B136, G$69)</f>
        <v>#NAME?</v>
      </c>
      <c r="H136" s="8" t="e" cm="1">
        <f t="array" aca="1" ref="H136" ca="1">ZKatzReduced($B136, H$69)</f>
        <v>#NAME?</v>
      </c>
      <c r="I136" s="8" t="e" cm="1">
        <f t="array" aca="1" ref="I136" ca="1">ZKatzReduced($B136, I$69)</f>
        <v>#NAME?</v>
      </c>
      <c r="J136" s="8" t="e" cm="1">
        <f t="array" aca="1" ref="J136" ca="1">ZKatzReduced($B136, J$69)</f>
        <v>#NAME?</v>
      </c>
      <c r="K136" s="8" t="e" cm="1">
        <f t="array" aca="1" ref="K136" ca="1">ZKatzReduced($B136, K$69)</f>
        <v>#NAME?</v>
      </c>
      <c r="L136" s="8" t="e" cm="1">
        <f t="array" aca="1" ref="L136" ca="1">ZKatzReduced($B136, L$69)</f>
        <v>#NAME?</v>
      </c>
      <c r="M136" s="8" t="e" cm="1">
        <f t="array" aca="1" ref="M136" ca="1">ZKatzReduced($B136, M$69)</f>
        <v>#NAME?</v>
      </c>
      <c r="N136" s="8" t="e" cm="1">
        <f t="array" aca="1" ref="N136" ca="1">ZKatzReduced($B136, N$69)</f>
        <v>#NAME?</v>
      </c>
      <c r="O136" s="8" t="e" cm="1">
        <f t="array" aca="1" ref="O136" ca="1">ZKatzReduced($B136, O$69)</f>
        <v>#NAME?</v>
      </c>
      <c r="P136" s="8" t="e" cm="1">
        <f t="array" aca="1" ref="P136" ca="1">ZKatzReduced($B136, P$69)</f>
        <v>#NAME?</v>
      </c>
      <c r="Q136" s="8" t="e" cm="1">
        <f t="array" aca="1" ref="Q136" ca="1">ZKatzReduced($B136, Q$69)</f>
        <v>#NAME?</v>
      </c>
      <c r="R136" s="8" t="e" cm="1">
        <f t="array" aca="1" ref="R136" ca="1">ZKatzReduced($B136, R$69)</f>
        <v>#NAME?</v>
      </c>
    </row>
    <row r="137" spans="2:18" x14ac:dyDescent="0.45">
      <c r="B137" s="17">
        <f t="shared" si="14"/>
        <v>6.6999999999999922</v>
      </c>
      <c r="C137" s="8" t="e" cm="1">
        <f t="array" aca="1" ref="C137" ca="1">ZKatzReduced($B137, C$69)</f>
        <v>#NAME?</v>
      </c>
      <c r="D137" s="8" t="e" cm="1">
        <f t="array" aca="1" ref="D137" ca="1">ZKatzReduced($B137, D$69)</f>
        <v>#NAME?</v>
      </c>
      <c r="E137" s="8" t="e" cm="1">
        <f t="array" aca="1" ref="E137" ca="1">ZKatzReduced($B137, E$69)</f>
        <v>#NAME?</v>
      </c>
      <c r="F137" s="8" t="e" cm="1">
        <f t="array" aca="1" ref="F137" ca="1">ZKatzReduced($B137, F$69)</f>
        <v>#NAME?</v>
      </c>
      <c r="G137" s="8" t="e" cm="1">
        <f t="array" aca="1" ref="G137" ca="1">ZKatzReduced($B137, G$69)</f>
        <v>#NAME?</v>
      </c>
      <c r="H137" s="8" t="e" cm="1">
        <f t="array" aca="1" ref="H137" ca="1">ZKatzReduced($B137, H$69)</f>
        <v>#NAME?</v>
      </c>
      <c r="I137" s="8" t="e" cm="1">
        <f t="array" aca="1" ref="I137" ca="1">ZKatzReduced($B137, I$69)</f>
        <v>#NAME?</v>
      </c>
      <c r="J137" s="8" t="e" cm="1">
        <f t="array" aca="1" ref="J137" ca="1">ZKatzReduced($B137, J$69)</f>
        <v>#NAME?</v>
      </c>
      <c r="K137" s="8" t="e" cm="1">
        <f t="array" aca="1" ref="K137" ca="1">ZKatzReduced($B137, K$69)</f>
        <v>#NAME?</v>
      </c>
      <c r="L137" s="8" t="e" cm="1">
        <f t="array" aca="1" ref="L137" ca="1">ZKatzReduced($B137, L$69)</f>
        <v>#NAME?</v>
      </c>
      <c r="M137" s="8" t="e" cm="1">
        <f t="array" aca="1" ref="M137" ca="1">ZKatzReduced($B137, M$69)</f>
        <v>#NAME?</v>
      </c>
      <c r="N137" s="8" t="e" cm="1">
        <f t="array" aca="1" ref="N137" ca="1">ZKatzReduced($B137, N$69)</f>
        <v>#NAME?</v>
      </c>
      <c r="O137" s="8" t="e" cm="1">
        <f t="array" aca="1" ref="O137" ca="1">ZKatzReduced($B137, O$69)</f>
        <v>#NAME?</v>
      </c>
      <c r="P137" s="8" t="e" cm="1">
        <f t="array" aca="1" ref="P137" ca="1">ZKatzReduced($B137, P$69)</f>
        <v>#NAME?</v>
      </c>
      <c r="Q137" s="8" t="e" cm="1">
        <f t="array" aca="1" ref="Q137" ca="1">ZKatzReduced($B137, Q$69)</f>
        <v>#NAME?</v>
      </c>
      <c r="R137" s="8" t="e" cm="1">
        <f t="array" aca="1" ref="R137" ca="1">ZKatzReduced($B137, R$69)</f>
        <v>#NAME?</v>
      </c>
    </row>
    <row r="138" spans="2:18" x14ac:dyDescent="0.45">
      <c r="B138" s="17">
        <f t="shared" si="14"/>
        <v>6.7999999999999918</v>
      </c>
      <c r="C138" s="8" t="e" cm="1">
        <f t="array" aca="1" ref="C138" ca="1">ZKatzReduced($B138, C$69)</f>
        <v>#NAME?</v>
      </c>
      <c r="D138" s="8" t="e" cm="1">
        <f t="array" aca="1" ref="D138" ca="1">ZKatzReduced($B138, D$69)</f>
        <v>#NAME?</v>
      </c>
      <c r="E138" s="8" t="e" cm="1">
        <f t="array" aca="1" ref="E138" ca="1">ZKatzReduced($B138, E$69)</f>
        <v>#NAME?</v>
      </c>
      <c r="F138" s="8" t="e" cm="1">
        <f t="array" aca="1" ref="F138" ca="1">ZKatzReduced($B138, F$69)</f>
        <v>#NAME?</v>
      </c>
      <c r="G138" s="8" t="e" cm="1">
        <f t="array" aca="1" ref="G138" ca="1">ZKatzReduced($B138, G$69)</f>
        <v>#NAME?</v>
      </c>
      <c r="H138" s="8" t="e" cm="1">
        <f t="array" aca="1" ref="H138" ca="1">ZKatzReduced($B138, H$69)</f>
        <v>#NAME?</v>
      </c>
      <c r="I138" s="8" t="e" cm="1">
        <f t="array" aca="1" ref="I138" ca="1">ZKatzReduced($B138, I$69)</f>
        <v>#NAME?</v>
      </c>
      <c r="J138" s="8" t="e" cm="1">
        <f t="array" aca="1" ref="J138" ca="1">ZKatzReduced($B138, J$69)</f>
        <v>#NAME?</v>
      </c>
      <c r="K138" s="8" t="e" cm="1">
        <f t="array" aca="1" ref="K138" ca="1">ZKatzReduced($B138, K$69)</f>
        <v>#NAME?</v>
      </c>
      <c r="L138" s="8" t="e" cm="1">
        <f t="array" aca="1" ref="L138" ca="1">ZKatzReduced($B138, L$69)</f>
        <v>#NAME?</v>
      </c>
      <c r="M138" s="8" t="e" cm="1">
        <f t="array" aca="1" ref="M138" ca="1">ZKatzReduced($B138, M$69)</f>
        <v>#NAME?</v>
      </c>
      <c r="N138" s="8" t="e" cm="1">
        <f t="array" aca="1" ref="N138" ca="1">ZKatzReduced($B138, N$69)</f>
        <v>#NAME?</v>
      </c>
      <c r="O138" s="8" t="e" cm="1">
        <f t="array" aca="1" ref="O138" ca="1">ZKatzReduced($B138, O$69)</f>
        <v>#NAME?</v>
      </c>
      <c r="P138" s="8" t="e" cm="1">
        <f t="array" aca="1" ref="P138" ca="1">ZKatzReduced($B138, P$69)</f>
        <v>#NAME?</v>
      </c>
      <c r="Q138" s="8" t="e" cm="1">
        <f t="array" aca="1" ref="Q138" ca="1">ZKatzReduced($B138, Q$69)</f>
        <v>#NAME?</v>
      </c>
      <c r="R138" s="8" t="e" cm="1">
        <f t="array" aca="1" ref="R138" ca="1">ZKatzReduced($B138, R$69)</f>
        <v>#NAME?</v>
      </c>
    </row>
    <row r="139" spans="2:18" x14ac:dyDescent="0.45">
      <c r="B139" s="17">
        <f t="shared" si="14"/>
        <v>6.8999999999999915</v>
      </c>
      <c r="C139" s="8" t="e" cm="1">
        <f t="array" aca="1" ref="C139" ca="1">ZKatzReduced($B139, C$69)</f>
        <v>#NAME?</v>
      </c>
      <c r="D139" s="8" t="e" cm="1">
        <f t="array" aca="1" ref="D139" ca="1">ZKatzReduced($B139, D$69)</f>
        <v>#NAME?</v>
      </c>
      <c r="E139" s="8" t="e" cm="1">
        <f t="array" aca="1" ref="E139" ca="1">ZKatzReduced($B139, E$69)</f>
        <v>#NAME?</v>
      </c>
      <c r="F139" s="8" t="e" cm="1">
        <f t="array" aca="1" ref="F139" ca="1">ZKatzReduced($B139, F$69)</f>
        <v>#NAME?</v>
      </c>
      <c r="G139" s="8" t="e" cm="1">
        <f t="array" aca="1" ref="G139" ca="1">ZKatzReduced($B139, G$69)</f>
        <v>#NAME?</v>
      </c>
      <c r="H139" s="8" t="e" cm="1">
        <f t="array" aca="1" ref="H139" ca="1">ZKatzReduced($B139, H$69)</f>
        <v>#NAME?</v>
      </c>
      <c r="I139" s="8" t="e" cm="1">
        <f t="array" aca="1" ref="I139" ca="1">ZKatzReduced($B139, I$69)</f>
        <v>#NAME?</v>
      </c>
      <c r="J139" s="8" t="e" cm="1">
        <f t="array" aca="1" ref="J139" ca="1">ZKatzReduced($B139, J$69)</f>
        <v>#NAME?</v>
      </c>
      <c r="K139" s="8" t="e" cm="1">
        <f t="array" aca="1" ref="K139" ca="1">ZKatzReduced($B139, K$69)</f>
        <v>#NAME?</v>
      </c>
      <c r="L139" s="8" t="e" cm="1">
        <f t="array" aca="1" ref="L139" ca="1">ZKatzReduced($B139, L$69)</f>
        <v>#NAME?</v>
      </c>
      <c r="M139" s="8" t="e" cm="1">
        <f t="array" aca="1" ref="M139" ca="1">ZKatzReduced($B139, M$69)</f>
        <v>#NAME?</v>
      </c>
      <c r="N139" s="8" t="e" cm="1">
        <f t="array" aca="1" ref="N139" ca="1">ZKatzReduced($B139, N$69)</f>
        <v>#NAME?</v>
      </c>
      <c r="O139" s="8" t="e" cm="1">
        <f t="array" aca="1" ref="O139" ca="1">ZKatzReduced($B139, O$69)</f>
        <v>#NAME?</v>
      </c>
      <c r="P139" s="8" t="e" cm="1">
        <f t="array" aca="1" ref="P139" ca="1">ZKatzReduced($B139, P$69)</f>
        <v>#NAME?</v>
      </c>
      <c r="Q139" s="8" t="e" cm="1">
        <f t="array" aca="1" ref="Q139" ca="1">ZKatzReduced($B139, Q$69)</f>
        <v>#NAME?</v>
      </c>
      <c r="R139" s="8" t="e" cm="1">
        <f t="array" aca="1" ref="R139" ca="1">ZKatzReduced($B139, R$69)</f>
        <v>#NAME?</v>
      </c>
    </row>
    <row r="140" spans="2:18" x14ac:dyDescent="0.45">
      <c r="B140" s="17">
        <f t="shared" si="14"/>
        <v>6.9999999999999911</v>
      </c>
      <c r="C140" s="8" t="e" cm="1">
        <f t="array" aca="1" ref="C140" ca="1">ZKatzReduced($B140, C$69)</f>
        <v>#NAME?</v>
      </c>
      <c r="D140" s="8" t="e" cm="1">
        <f t="array" aca="1" ref="D140" ca="1">ZKatzReduced($B140, D$69)</f>
        <v>#NAME?</v>
      </c>
      <c r="E140" s="8" t="e" cm="1">
        <f t="array" aca="1" ref="E140" ca="1">ZKatzReduced($B140, E$69)</f>
        <v>#NAME?</v>
      </c>
      <c r="F140" s="8" t="e" cm="1">
        <f t="array" aca="1" ref="F140" ca="1">ZKatzReduced($B140, F$69)</f>
        <v>#NAME?</v>
      </c>
      <c r="G140" s="8" t="e" cm="1">
        <f t="array" aca="1" ref="G140" ca="1">ZKatzReduced($B140, G$69)</f>
        <v>#NAME?</v>
      </c>
      <c r="H140" s="8" t="e" cm="1">
        <f t="array" aca="1" ref="H140" ca="1">ZKatzReduced($B140, H$69)</f>
        <v>#NAME?</v>
      </c>
      <c r="I140" s="8" t="e" cm="1">
        <f t="array" aca="1" ref="I140" ca="1">ZKatzReduced($B140, I$69)</f>
        <v>#NAME?</v>
      </c>
      <c r="J140" s="8" t="e" cm="1">
        <f t="array" aca="1" ref="J140" ca="1">ZKatzReduced($B140, J$69)</f>
        <v>#NAME?</v>
      </c>
      <c r="K140" s="8" t="e" cm="1">
        <f t="array" aca="1" ref="K140" ca="1">ZKatzReduced($B140, K$69)</f>
        <v>#NAME?</v>
      </c>
      <c r="L140" s="8" t="e" cm="1">
        <f t="array" aca="1" ref="L140" ca="1">ZKatzReduced($B140, L$69)</f>
        <v>#NAME?</v>
      </c>
      <c r="M140" s="8" t="e" cm="1">
        <f t="array" aca="1" ref="M140" ca="1">ZKatzReduced($B140, M$69)</f>
        <v>#NAME?</v>
      </c>
      <c r="N140" s="8" t="e" cm="1">
        <f t="array" aca="1" ref="N140" ca="1">ZKatzReduced($B140, N$69)</f>
        <v>#NAME?</v>
      </c>
      <c r="O140" s="8" t="e" cm="1">
        <f t="array" aca="1" ref="O140" ca="1">ZKatzReduced($B140, O$69)</f>
        <v>#NAME?</v>
      </c>
      <c r="P140" s="8" t="e" cm="1">
        <f t="array" aca="1" ref="P140" ca="1">ZKatzReduced($B140, P$69)</f>
        <v>#NAME?</v>
      </c>
      <c r="Q140" s="8" t="e" cm="1">
        <f t="array" aca="1" ref="Q140" ca="1">ZKatzReduced($B140, Q$69)</f>
        <v>#NAME?</v>
      </c>
      <c r="R140" s="8" t="e" cm="1">
        <f t="array" aca="1" ref="R140" ca="1">ZKatzReduced($B140, R$69)</f>
        <v>#NAME?</v>
      </c>
    </row>
    <row r="141" spans="2:18" x14ac:dyDescent="0.45">
      <c r="B141" s="17">
        <f t="shared" si="14"/>
        <v>7.0999999999999908</v>
      </c>
      <c r="C141" s="8" t="e" cm="1">
        <f t="array" aca="1" ref="C141" ca="1">ZKatzReduced($B141, C$69)</f>
        <v>#NAME?</v>
      </c>
      <c r="D141" s="8" t="e" cm="1">
        <f t="array" aca="1" ref="D141" ca="1">ZKatzReduced($B141, D$69)</f>
        <v>#NAME?</v>
      </c>
      <c r="E141" s="8" t="e" cm="1">
        <f t="array" aca="1" ref="E141" ca="1">ZKatzReduced($B141, E$69)</f>
        <v>#NAME?</v>
      </c>
      <c r="F141" s="8" t="e" cm="1">
        <f t="array" aca="1" ref="F141" ca="1">ZKatzReduced($B141, F$69)</f>
        <v>#NAME?</v>
      </c>
      <c r="G141" s="8" t="e" cm="1">
        <f t="array" aca="1" ref="G141" ca="1">ZKatzReduced($B141, G$69)</f>
        <v>#NAME?</v>
      </c>
      <c r="H141" s="8" t="e" cm="1">
        <f t="array" aca="1" ref="H141" ca="1">ZKatzReduced($B141, H$69)</f>
        <v>#NAME?</v>
      </c>
      <c r="I141" s="8" t="e" cm="1">
        <f t="array" aca="1" ref="I141" ca="1">ZKatzReduced($B141, I$69)</f>
        <v>#NAME?</v>
      </c>
      <c r="J141" s="8" t="e" cm="1">
        <f t="array" aca="1" ref="J141" ca="1">ZKatzReduced($B141, J$69)</f>
        <v>#NAME?</v>
      </c>
      <c r="K141" s="8" t="e" cm="1">
        <f t="array" aca="1" ref="K141" ca="1">ZKatzReduced($B141, K$69)</f>
        <v>#NAME?</v>
      </c>
      <c r="L141" s="8" t="e" cm="1">
        <f t="array" aca="1" ref="L141" ca="1">ZKatzReduced($B141, L$69)</f>
        <v>#NAME?</v>
      </c>
      <c r="M141" s="8" t="e" cm="1">
        <f t="array" aca="1" ref="M141" ca="1">ZKatzReduced($B141, M$69)</f>
        <v>#NAME?</v>
      </c>
      <c r="N141" s="8" t="e" cm="1">
        <f t="array" aca="1" ref="N141" ca="1">ZKatzReduced($B141, N$69)</f>
        <v>#NAME?</v>
      </c>
      <c r="O141" s="8" t="e" cm="1">
        <f t="array" aca="1" ref="O141" ca="1">ZKatzReduced($B141, O$69)</f>
        <v>#NAME?</v>
      </c>
      <c r="P141" s="8" t="e" cm="1">
        <f t="array" aca="1" ref="P141" ca="1">ZKatzReduced($B141, P$69)</f>
        <v>#NAME?</v>
      </c>
      <c r="Q141" s="8" t="e" cm="1">
        <f t="array" aca="1" ref="Q141" ca="1">ZKatzReduced($B141, Q$69)</f>
        <v>#NAME?</v>
      </c>
      <c r="R141" s="8" t="e" cm="1">
        <f t="array" aca="1" ref="R141" ca="1">ZKatzReduced($B141, R$69)</f>
        <v>#NAME?</v>
      </c>
    </row>
    <row r="142" spans="2:18" x14ac:dyDescent="0.45">
      <c r="B142" s="17">
        <f t="shared" si="14"/>
        <v>7.1999999999999904</v>
      </c>
      <c r="C142" s="8" t="e" cm="1">
        <f t="array" aca="1" ref="C142" ca="1">ZKatzReduced($B142, C$69)</f>
        <v>#NAME?</v>
      </c>
      <c r="D142" s="8" t="e" cm="1">
        <f t="array" aca="1" ref="D142" ca="1">ZKatzReduced($B142, D$69)</f>
        <v>#NAME?</v>
      </c>
      <c r="E142" s="8" t="e" cm="1">
        <f t="array" aca="1" ref="E142" ca="1">ZKatzReduced($B142, E$69)</f>
        <v>#NAME?</v>
      </c>
      <c r="F142" s="8" t="e" cm="1">
        <f t="array" aca="1" ref="F142" ca="1">ZKatzReduced($B142, F$69)</f>
        <v>#NAME?</v>
      </c>
      <c r="G142" s="8" t="e" cm="1">
        <f t="array" aca="1" ref="G142" ca="1">ZKatzReduced($B142, G$69)</f>
        <v>#NAME?</v>
      </c>
      <c r="H142" s="8" t="e" cm="1">
        <f t="array" aca="1" ref="H142" ca="1">ZKatzReduced($B142, H$69)</f>
        <v>#NAME?</v>
      </c>
      <c r="I142" s="8" t="e" cm="1">
        <f t="array" aca="1" ref="I142" ca="1">ZKatzReduced($B142, I$69)</f>
        <v>#NAME?</v>
      </c>
      <c r="J142" s="8" t="e" cm="1">
        <f t="array" aca="1" ref="J142" ca="1">ZKatzReduced($B142, J$69)</f>
        <v>#NAME?</v>
      </c>
      <c r="K142" s="8" t="e" cm="1">
        <f t="array" aca="1" ref="K142" ca="1">ZKatzReduced($B142, K$69)</f>
        <v>#NAME?</v>
      </c>
      <c r="L142" s="8" t="e" cm="1">
        <f t="array" aca="1" ref="L142" ca="1">ZKatzReduced($B142, L$69)</f>
        <v>#NAME?</v>
      </c>
      <c r="M142" s="8" t="e" cm="1">
        <f t="array" aca="1" ref="M142" ca="1">ZKatzReduced($B142, M$69)</f>
        <v>#NAME?</v>
      </c>
      <c r="N142" s="8" t="e" cm="1">
        <f t="array" aca="1" ref="N142" ca="1">ZKatzReduced($B142, N$69)</f>
        <v>#NAME?</v>
      </c>
      <c r="O142" s="8" t="e" cm="1">
        <f t="array" aca="1" ref="O142" ca="1">ZKatzReduced($B142, O$69)</f>
        <v>#NAME?</v>
      </c>
      <c r="P142" s="8" t="e" cm="1">
        <f t="array" aca="1" ref="P142" ca="1">ZKatzReduced($B142, P$69)</f>
        <v>#NAME?</v>
      </c>
      <c r="Q142" s="8" t="e" cm="1">
        <f t="array" aca="1" ref="Q142" ca="1">ZKatzReduced($B142, Q$69)</f>
        <v>#NAME?</v>
      </c>
      <c r="R142" s="8" t="e" cm="1">
        <f t="array" aca="1" ref="R142" ca="1">ZKatzReduced($B142, R$69)</f>
        <v>#NAME?</v>
      </c>
    </row>
    <row r="143" spans="2:18" x14ac:dyDescent="0.45">
      <c r="B143" s="17">
        <f t="shared" si="14"/>
        <v>7.2999999999999901</v>
      </c>
      <c r="C143" s="8" t="e" cm="1">
        <f t="array" aca="1" ref="C143" ca="1">ZKatzReduced($B143, C$69)</f>
        <v>#NAME?</v>
      </c>
      <c r="D143" s="8" t="e" cm="1">
        <f t="array" aca="1" ref="D143" ca="1">ZKatzReduced($B143, D$69)</f>
        <v>#NAME?</v>
      </c>
      <c r="E143" s="8" t="e" cm="1">
        <f t="array" aca="1" ref="E143" ca="1">ZKatzReduced($B143, E$69)</f>
        <v>#NAME?</v>
      </c>
      <c r="F143" s="8" t="e" cm="1">
        <f t="array" aca="1" ref="F143" ca="1">ZKatzReduced($B143, F$69)</f>
        <v>#NAME?</v>
      </c>
      <c r="G143" s="8" t="e" cm="1">
        <f t="array" aca="1" ref="G143" ca="1">ZKatzReduced($B143, G$69)</f>
        <v>#NAME?</v>
      </c>
      <c r="H143" s="8" t="e" cm="1">
        <f t="array" aca="1" ref="H143" ca="1">ZKatzReduced($B143, H$69)</f>
        <v>#NAME?</v>
      </c>
      <c r="I143" s="8" t="e" cm="1">
        <f t="array" aca="1" ref="I143" ca="1">ZKatzReduced($B143, I$69)</f>
        <v>#NAME?</v>
      </c>
      <c r="J143" s="8" t="e" cm="1">
        <f t="array" aca="1" ref="J143" ca="1">ZKatzReduced($B143, J$69)</f>
        <v>#NAME?</v>
      </c>
      <c r="K143" s="8" t="e" cm="1">
        <f t="array" aca="1" ref="K143" ca="1">ZKatzReduced($B143, K$69)</f>
        <v>#NAME?</v>
      </c>
      <c r="L143" s="8" t="e" cm="1">
        <f t="array" aca="1" ref="L143" ca="1">ZKatzReduced($B143, L$69)</f>
        <v>#NAME?</v>
      </c>
      <c r="M143" s="8" t="e" cm="1">
        <f t="array" aca="1" ref="M143" ca="1">ZKatzReduced($B143, M$69)</f>
        <v>#NAME?</v>
      </c>
      <c r="N143" s="8" t="e" cm="1">
        <f t="array" aca="1" ref="N143" ca="1">ZKatzReduced($B143, N$69)</f>
        <v>#NAME?</v>
      </c>
      <c r="O143" s="8" t="e" cm="1">
        <f t="array" aca="1" ref="O143" ca="1">ZKatzReduced($B143, O$69)</f>
        <v>#NAME?</v>
      </c>
      <c r="P143" s="8" t="e" cm="1">
        <f t="array" aca="1" ref="P143" ca="1">ZKatzReduced($B143, P$69)</f>
        <v>#NAME?</v>
      </c>
      <c r="Q143" s="8" t="e" cm="1">
        <f t="array" aca="1" ref="Q143" ca="1">ZKatzReduced($B143, Q$69)</f>
        <v>#NAME?</v>
      </c>
      <c r="R143" s="8" t="e" cm="1">
        <f t="array" aca="1" ref="R143" ca="1">ZKatzReduced($B143, R$69)</f>
        <v>#NAME?</v>
      </c>
    </row>
    <row r="144" spans="2:18" x14ac:dyDescent="0.45">
      <c r="B144" s="17">
        <f t="shared" si="14"/>
        <v>7.3999999999999897</v>
      </c>
      <c r="C144" s="8" t="e" cm="1">
        <f t="array" aca="1" ref="C144" ca="1">ZKatzReduced($B144, C$69)</f>
        <v>#NAME?</v>
      </c>
      <c r="D144" s="8" t="e" cm="1">
        <f t="array" aca="1" ref="D144" ca="1">ZKatzReduced($B144, D$69)</f>
        <v>#NAME?</v>
      </c>
      <c r="E144" s="8" t="e" cm="1">
        <f t="array" aca="1" ref="E144" ca="1">ZKatzReduced($B144, E$69)</f>
        <v>#NAME?</v>
      </c>
      <c r="F144" s="8" t="e" cm="1">
        <f t="array" aca="1" ref="F144" ca="1">ZKatzReduced($B144, F$69)</f>
        <v>#NAME?</v>
      </c>
      <c r="G144" s="8" t="e" cm="1">
        <f t="array" aca="1" ref="G144" ca="1">ZKatzReduced($B144, G$69)</f>
        <v>#NAME?</v>
      </c>
      <c r="H144" s="8" t="e" cm="1">
        <f t="array" aca="1" ref="H144" ca="1">ZKatzReduced($B144, H$69)</f>
        <v>#NAME?</v>
      </c>
      <c r="I144" s="8" t="e" cm="1">
        <f t="array" aca="1" ref="I144" ca="1">ZKatzReduced($B144, I$69)</f>
        <v>#NAME?</v>
      </c>
      <c r="J144" s="8" t="e" cm="1">
        <f t="array" aca="1" ref="J144" ca="1">ZKatzReduced($B144, J$69)</f>
        <v>#NAME?</v>
      </c>
      <c r="K144" s="8" t="e" cm="1">
        <f t="array" aca="1" ref="K144" ca="1">ZKatzReduced($B144, K$69)</f>
        <v>#NAME?</v>
      </c>
      <c r="L144" s="8" t="e" cm="1">
        <f t="array" aca="1" ref="L144" ca="1">ZKatzReduced($B144, L$69)</f>
        <v>#NAME?</v>
      </c>
      <c r="M144" s="8" t="e" cm="1">
        <f t="array" aca="1" ref="M144" ca="1">ZKatzReduced($B144, M$69)</f>
        <v>#NAME?</v>
      </c>
      <c r="N144" s="8" t="e" cm="1">
        <f t="array" aca="1" ref="N144" ca="1">ZKatzReduced($B144, N$69)</f>
        <v>#NAME?</v>
      </c>
      <c r="O144" s="8" t="e" cm="1">
        <f t="array" aca="1" ref="O144" ca="1">ZKatzReduced($B144, O$69)</f>
        <v>#NAME?</v>
      </c>
      <c r="P144" s="8" t="e" cm="1">
        <f t="array" aca="1" ref="P144" ca="1">ZKatzReduced($B144, P$69)</f>
        <v>#NAME?</v>
      </c>
      <c r="Q144" s="8" t="e" cm="1">
        <f t="array" aca="1" ref="Q144" ca="1">ZKatzReduced($B144, Q$69)</f>
        <v>#NAME?</v>
      </c>
      <c r="R144" s="8" t="e" cm="1">
        <f t="array" aca="1" ref="R144" ca="1">ZKatzReduced($B144, R$69)</f>
        <v>#NAME?</v>
      </c>
    </row>
    <row r="145" spans="2:18" x14ac:dyDescent="0.45">
      <c r="B145" s="17">
        <f t="shared" si="14"/>
        <v>7.4999999999999893</v>
      </c>
      <c r="C145" s="8" t="e" cm="1">
        <f t="array" aca="1" ref="C145" ca="1">ZKatzReduced($B145, C$69)</f>
        <v>#NAME?</v>
      </c>
      <c r="D145" s="8" t="e" cm="1">
        <f t="array" aca="1" ref="D145" ca="1">ZKatzReduced($B145, D$69)</f>
        <v>#NAME?</v>
      </c>
      <c r="E145" s="8" t="e" cm="1">
        <f t="array" aca="1" ref="E145" ca="1">ZKatzReduced($B145, E$69)</f>
        <v>#NAME?</v>
      </c>
      <c r="F145" s="8" t="e" cm="1">
        <f t="array" aca="1" ref="F145" ca="1">ZKatzReduced($B145, F$69)</f>
        <v>#NAME?</v>
      </c>
      <c r="G145" s="8" t="e" cm="1">
        <f t="array" aca="1" ref="G145" ca="1">ZKatzReduced($B145, G$69)</f>
        <v>#NAME?</v>
      </c>
      <c r="H145" s="8" t="e" cm="1">
        <f t="array" aca="1" ref="H145" ca="1">ZKatzReduced($B145, H$69)</f>
        <v>#NAME?</v>
      </c>
      <c r="I145" s="8" t="e" cm="1">
        <f t="array" aca="1" ref="I145" ca="1">ZKatzReduced($B145, I$69)</f>
        <v>#NAME?</v>
      </c>
      <c r="J145" s="8" t="e" cm="1">
        <f t="array" aca="1" ref="J145" ca="1">ZKatzReduced($B145, J$69)</f>
        <v>#NAME?</v>
      </c>
      <c r="K145" s="8" t="e" cm="1">
        <f t="array" aca="1" ref="K145" ca="1">ZKatzReduced($B145, K$69)</f>
        <v>#NAME?</v>
      </c>
      <c r="L145" s="8" t="e" cm="1">
        <f t="array" aca="1" ref="L145" ca="1">ZKatzReduced($B145, L$69)</f>
        <v>#NAME?</v>
      </c>
      <c r="M145" s="8" t="e" cm="1">
        <f t="array" aca="1" ref="M145" ca="1">ZKatzReduced($B145, M$69)</f>
        <v>#NAME?</v>
      </c>
      <c r="N145" s="8" t="e" cm="1">
        <f t="array" aca="1" ref="N145" ca="1">ZKatzReduced($B145, N$69)</f>
        <v>#NAME?</v>
      </c>
      <c r="O145" s="8" t="e" cm="1">
        <f t="array" aca="1" ref="O145" ca="1">ZKatzReduced($B145, O$69)</f>
        <v>#NAME?</v>
      </c>
      <c r="P145" s="8" t="e" cm="1">
        <f t="array" aca="1" ref="P145" ca="1">ZKatzReduced($B145, P$69)</f>
        <v>#NAME?</v>
      </c>
      <c r="Q145" s="8" t="e" cm="1">
        <f t="array" aca="1" ref="Q145" ca="1">ZKatzReduced($B145, Q$69)</f>
        <v>#NAME?</v>
      </c>
      <c r="R145" s="8" t="e" cm="1">
        <f t="array" aca="1" ref="R145" ca="1">ZKatzReduced($B145, R$69)</f>
        <v>#NAME?</v>
      </c>
    </row>
    <row r="146" spans="2:18" x14ac:dyDescent="0.45">
      <c r="B146" s="17">
        <f t="shared" si="14"/>
        <v>7.599999999999989</v>
      </c>
      <c r="C146" s="8" t="e" cm="1">
        <f t="array" aca="1" ref="C146" ca="1">ZKatzReduced($B146, C$69)</f>
        <v>#NAME?</v>
      </c>
      <c r="D146" s="8" t="e" cm="1">
        <f t="array" aca="1" ref="D146" ca="1">ZKatzReduced($B146, D$69)</f>
        <v>#NAME?</v>
      </c>
      <c r="E146" s="8" t="e" cm="1">
        <f t="array" aca="1" ref="E146" ca="1">ZKatzReduced($B146, E$69)</f>
        <v>#NAME?</v>
      </c>
      <c r="F146" s="8" t="e" cm="1">
        <f t="array" aca="1" ref="F146" ca="1">ZKatzReduced($B146, F$69)</f>
        <v>#NAME?</v>
      </c>
      <c r="G146" s="8" t="e" cm="1">
        <f t="array" aca="1" ref="G146" ca="1">ZKatzReduced($B146, G$69)</f>
        <v>#NAME?</v>
      </c>
      <c r="H146" s="8" t="e" cm="1">
        <f t="array" aca="1" ref="H146" ca="1">ZKatzReduced($B146, H$69)</f>
        <v>#NAME?</v>
      </c>
      <c r="I146" s="8" t="e" cm="1">
        <f t="array" aca="1" ref="I146" ca="1">ZKatzReduced($B146, I$69)</f>
        <v>#NAME?</v>
      </c>
      <c r="J146" s="8" t="e" cm="1">
        <f t="array" aca="1" ref="J146" ca="1">ZKatzReduced($B146, J$69)</f>
        <v>#NAME?</v>
      </c>
      <c r="K146" s="8" t="e" cm="1">
        <f t="array" aca="1" ref="K146" ca="1">ZKatzReduced($B146, K$69)</f>
        <v>#NAME?</v>
      </c>
      <c r="L146" s="8" t="e" cm="1">
        <f t="array" aca="1" ref="L146" ca="1">ZKatzReduced($B146, L$69)</f>
        <v>#NAME?</v>
      </c>
      <c r="M146" s="8" t="e" cm="1">
        <f t="array" aca="1" ref="M146" ca="1">ZKatzReduced($B146, M$69)</f>
        <v>#NAME?</v>
      </c>
      <c r="N146" s="8" t="e" cm="1">
        <f t="array" aca="1" ref="N146" ca="1">ZKatzReduced($B146, N$69)</f>
        <v>#NAME?</v>
      </c>
      <c r="O146" s="8" t="e" cm="1">
        <f t="array" aca="1" ref="O146" ca="1">ZKatzReduced($B146, O$69)</f>
        <v>#NAME?</v>
      </c>
      <c r="P146" s="8" t="e" cm="1">
        <f t="array" aca="1" ref="P146" ca="1">ZKatzReduced($B146, P$69)</f>
        <v>#NAME?</v>
      </c>
      <c r="Q146" s="8" t="e" cm="1">
        <f t="array" aca="1" ref="Q146" ca="1">ZKatzReduced($B146, Q$69)</f>
        <v>#NAME?</v>
      </c>
      <c r="R146" s="8" t="e" cm="1">
        <f t="array" aca="1" ref="R146" ca="1">ZKatzReduced($B146, R$69)</f>
        <v>#NAME?</v>
      </c>
    </row>
    <row r="147" spans="2:18" x14ac:dyDescent="0.45">
      <c r="B147" s="17">
        <f t="shared" si="14"/>
        <v>7.6999999999999886</v>
      </c>
      <c r="C147" s="8" t="e" cm="1">
        <f t="array" aca="1" ref="C147" ca="1">ZKatzReduced($B147, C$69)</f>
        <v>#NAME?</v>
      </c>
      <c r="D147" s="8" t="e" cm="1">
        <f t="array" aca="1" ref="D147" ca="1">ZKatzReduced($B147, D$69)</f>
        <v>#NAME?</v>
      </c>
      <c r="E147" s="8" t="e" cm="1">
        <f t="array" aca="1" ref="E147" ca="1">ZKatzReduced($B147, E$69)</f>
        <v>#NAME?</v>
      </c>
      <c r="F147" s="8" t="e" cm="1">
        <f t="array" aca="1" ref="F147" ca="1">ZKatzReduced($B147, F$69)</f>
        <v>#NAME?</v>
      </c>
      <c r="G147" s="8" t="e" cm="1">
        <f t="array" aca="1" ref="G147" ca="1">ZKatzReduced($B147, G$69)</f>
        <v>#NAME?</v>
      </c>
      <c r="H147" s="8" t="e" cm="1">
        <f t="array" aca="1" ref="H147" ca="1">ZKatzReduced($B147, H$69)</f>
        <v>#NAME?</v>
      </c>
      <c r="I147" s="8" t="e" cm="1">
        <f t="array" aca="1" ref="I147" ca="1">ZKatzReduced($B147, I$69)</f>
        <v>#NAME?</v>
      </c>
      <c r="J147" s="8" t="e" cm="1">
        <f t="array" aca="1" ref="J147" ca="1">ZKatzReduced($B147, J$69)</f>
        <v>#NAME?</v>
      </c>
      <c r="K147" s="8" t="e" cm="1">
        <f t="array" aca="1" ref="K147" ca="1">ZKatzReduced($B147, K$69)</f>
        <v>#NAME?</v>
      </c>
      <c r="L147" s="8" t="e" cm="1">
        <f t="array" aca="1" ref="L147" ca="1">ZKatzReduced($B147, L$69)</f>
        <v>#NAME?</v>
      </c>
      <c r="M147" s="8" t="e" cm="1">
        <f t="array" aca="1" ref="M147" ca="1">ZKatzReduced($B147, M$69)</f>
        <v>#NAME?</v>
      </c>
      <c r="N147" s="8" t="e" cm="1">
        <f t="array" aca="1" ref="N147" ca="1">ZKatzReduced($B147, N$69)</f>
        <v>#NAME?</v>
      </c>
      <c r="O147" s="8" t="e" cm="1">
        <f t="array" aca="1" ref="O147" ca="1">ZKatzReduced($B147, O$69)</f>
        <v>#NAME?</v>
      </c>
      <c r="P147" s="8" t="e" cm="1">
        <f t="array" aca="1" ref="P147" ca="1">ZKatzReduced($B147, P$69)</f>
        <v>#NAME?</v>
      </c>
      <c r="Q147" s="8" t="e" cm="1">
        <f t="array" aca="1" ref="Q147" ca="1">ZKatzReduced($B147, Q$69)</f>
        <v>#NAME?</v>
      </c>
      <c r="R147" s="8" t="e" cm="1">
        <f t="array" aca="1" ref="R147" ca="1">ZKatzReduced($B147, R$69)</f>
        <v>#NAME?</v>
      </c>
    </row>
    <row r="148" spans="2:18" x14ac:dyDescent="0.45">
      <c r="B148" s="17">
        <f t="shared" si="14"/>
        <v>7.7999999999999883</v>
      </c>
      <c r="C148" s="8" t="e" cm="1">
        <f t="array" aca="1" ref="C148" ca="1">ZKatzReduced($B148, C$69)</f>
        <v>#NAME?</v>
      </c>
      <c r="D148" s="8" t="e" cm="1">
        <f t="array" aca="1" ref="D148" ca="1">ZKatzReduced($B148, D$69)</f>
        <v>#NAME?</v>
      </c>
      <c r="E148" s="8" t="e" cm="1">
        <f t="array" aca="1" ref="E148" ca="1">ZKatzReduced($B148, E$69)</f>
        <v>#NAME?</v>
      </c>
      <c r="F148" s="8" t="e" cm="1">
        <f t="array" aca="1" ref="F148" ca="1">ZKatzReduced($B148, F$69)</f>
        <v>#NAME?</v>
      </c>
      <c r="G148" s="8" t="e" cm="1">
        <f t="array" aca="1" ref="G148" ca="1">ZKatzReduced($B148, G$69)</f>
        <v>#NAME?</v>
      </c>
      <c r="H148" s="8" t="e" cm="1">
        <f t="array" aca="1" ref="H148" ca="1">ZKatzReduced($B148, H$69)</f>
        <v>#NAME?</v>
      </c>
      <c r="I148" s="8" t="e" cm="1">
        <f t="array" aca="1" ref="I148" ca="1">ZKatzReduced($B148, I$69)</f>
        <v>#NAME?</v>
      </c>
      <c r="J148" s="8" t="e" cm="1">
        <f t="array" aca="1" ref="J148" ca="1">ZKatzReduced($B148, J$69)</f>
        <v>#NAME?</v>
      </c>
      <c r="K148" s="8" t="e" cm="1">
        <f t="array" aca="1" ref="K148" ca="1">ZKatzReduced($B148, K$69)</f>
        <v>#NAME?</v>
      </c>
      <c r="L148" s="8" t="e" cm="1">
        <f t="array" aca="1" ref="L148" ca="1">ZKatzReduced($B148, L$69)</f>
        <v>#NAME?</v>
      </c>
      <c r="M148" s="8" t="e" cm="1">
        <f t="array" aca="1" ref="M148" ca="1">ZKatzReduced($B148, M$69)</f>
        <v>#NAME?</v>
      </c>
      <c r="N148" s="8" t="e" cm="1">
        <f t="array" aca="1" ref="N148" ca="1">ZKatzReduced($B148, N$69)</f>
        <v>#NAME?</v>
      </c>
      <c r="O148" s="8" t="e" cm="1">
        <f t="array" aca="1" ref="O148" ca="1">ZKatzReduced($B148, O$69)</f>
        <v>#NAME?</v>
      </c>
      <c r="P148" s="8" t="e" cm="1">
        <f t="array" aca="1" ref="P148" ca="1">ZKatzReduced($B148, P$69)</f>
        <v>#NAME?</v>
      </c>
      <c r="Q148" s="8" t="e" cm="1">
        <f t="array" aca="1" ref="Q148" ca="1">ZKatzReduced($B148, Q$69)</f>
        <v>#NAME?</v>
      </c>
      <c r="R148" s="8" t="e" cm="1">
        <f t="array" aca="1" ref="R148" ca="1">ZKatzReduced($B148, R$69)</f>
        <v>#NAME?</v>
      </c>
    </row>
    <row r="149" spans="2:18" x14ac:dyDescent="0.45">
      <c r="B149" s="17">
        <f t="shared" si="14"/>
        <v>7.8999999999999879</v>
      </c>
      <c r="C149" s="8" t="e" cm="1">
        <f t="array" aca="1" ref="C149" ca="1">ZKatzReduced($B149, C$69)</f>
        <v>#NAME?</v>
      </c>
      <c r="D149" s="8" t="e" cm="1">
        <f t="array" aca="1" ref="D149" ca="1">ZKatzReduced($B149, D$69)</f>
        <v>#NAME?</v>
      </c>
      <c r="E149" s="8" t="e" cm="1">
        <f t="array" aca="1" ref="E149" ca="1">ZKatzReduced($B149, E$69)</f>
        <v>#NAME?</v>
      </c>
      <c r="F149" s="8" t="e" cm="1">
        <f t="array" aca="1" ref="F149" ca="1">ZKatzReduced($B149, F$69)</f>
        <v>#NAME?</v>
      </c>
      <c r="G149" s="8" t="e" cm="1">
        <f t="array" aca="1" ref="G149" ca="1">ZKatzReduced($B149, G$69)</f>
        <v>#NAME?</v>
      </c>
      <c r="H149" s="8" t="e" cm="1">
        <f t="array" aca="1" ref="H149" ca="1">ZKatzReduced($B149, H$69)</f>
        <v>#NAME?</v>
      </c>
      <c r="I149" s="8" t="e" cm="1">
        <f t="array" aca="1" ref="I149" ca="1">ZKatzReduced($B149, I$69)</f>
        <v>#NAME?</v>
      </c>
      <c r="J149" s="8" t="e" cm="1">
        <f t="array" aca="1" ref="J149" ca="1">ZKatzReduced($B149, J$69)</f>
        <v>#NAME?</v>
      </c>
      <c r="K149" s="8" t="e" cm="1">
        <f t="array" aca="1" ref="K149" ca="1">ZKatzReduced($B149, K$69)</f>
        <v>#NAME?</v>
      </c>
      <c r="L149" s="8" t="e" cm="1">
        <f t="array" aca="1" ref="L149" ca="1">ZKatzReduced($B149, L$69)</f>
        <v>#NAME?</v>
      </c>
      <c r="M149" s="8" t="e" cm="1">
        <f t="array" aca="1" ref="M149" ca="1">ZKatzReduced($B149, M$69)</f>
        <v>#NAME?</v>
      </c>
      <c r="N149" s="8" t="e" cm="1">
        <f t="array" aca="1" ref="N149" ca="1">ZKatzReduced($B149, N$69)</f>
        <v>#NAME?</v>
      </c>
      <c r="O149" s="8" t="e" cm="1">
        <f t="array" aca="1" ref="O149" ca="1">ZKatzReduced($B149, O$69)</f>
        <v>#NAME?</v>
      </c>
      <c r="P149" s="8" t="e" cm="1">
        <f t="array" aca="1" ref="P149" ca="1">ZKatzReduced($B149, P$69)</f>
        <v>#NAME?</v>
      </c>
      <c r="Q149" s="8" t="e" cm="1">
        <f t="array" aca="1" ref="Q149" ca="1">ZKatzReduced($B149, Q$69)</f>
        <v>#NAME?</v>
      </c>
      <c r="R149" s="8" t="e" cm="1">
        <f t="array" aca="1" ref="R149" ca="1">ZKatzReduced($B149, R$69)</f>
        <v>#NAME?</v>
      </c>
    </row>
    <row r="150" spans="2:18" x14ac:dyDescent="0.45">
      <c r="B150" s="17">
        <f t="shared" si="14"/>
        <v>7.9999999999999876</v>
      </c>
      <c r="C150" s="8" t="e" cm="1">
        <f t="array" aca="1" ref="C150" ca="1">ZKatzReduced($B150, C$69)</f>
        <v>#NAME?</v>
      </c>
      <c r="D150" s="8" t="e" cm="1">
        <f t="array" aca="1" ref="D150" ca="1">ZKatzReduced($B150, D$69)</f>
        <v>#NAME?</v>
      </c>
      <c r="E150" s="8" t="e" cm="1">
        <f t="array" aca="1" ref="E150" ca="1">ZKatzReduced($B150, E$69)</f>
        <v>#NAME?</v>
      </c>
      <c r="F150" s="8" t="e" cm="1">
        <f t="array" aca="1" ref="F150" ca="1">ZKatzReduced($B150, F$69)</f>
        <v>#NAME?</v>
      </c>
      <c r="G150" s="8" t="e" cm="1">
        <f t="array" aca="1" ref="G150" ca="1">ZKatzReduced($B150, G$69)</f>
        <v>#NAME?</v>
      </c>
      <c r="H150" s="8" t="e" cm="1">
        <f t="array" aca="1" ref="H150" ca="1">ZKatzReduced($B150, H$69)</f>
        <v>#NAME?</v>
      </c>
      <c r="I150" s="8" t="e" cm="1">
        <f t="array" aca="1" ref="I150" ca="1">ZKatzReduced($B150, I$69)</f>
        <v>#NAME?</v>
      </c>
      <c r="J150" s="8" t="e" cm="1">
        <f t="array" aca="1" ref="J150" ca="1">ZKatzReduced($B150, J$69)</f>
        <v>#NAME?</v>
      </c>
      <c r="K150" s="8" t="e" cm="1">
        <f t="array" aca="1" ref="K150" ca="1">ZKatzReduced($B150, K$69)</f>
        <v>#NAME?</v>
      </c>
      <c r="L150" s="8" t="e" cm="1">
        <f t="array" aca="1" ref="L150" ca="1">ZKatzReduced($B150, L$69)</f>
        <v>#NAME?</v>
      </c>
      <c r="M150" s="8" t="e" cm="1">
        <f t="array" aca="1" ref="M150" ca="1">ZKatzReduced($B150, M$69)</f>
        <v>#NAME?</v>
      </c>
      <c r="N150" s="8" t="e" cm="1">
        <f t="array" aca="1" ref="N150" ca="1">ZKatzReduced($B150, N$69)</f>
        <v>#NAME?</v>
      </c>
      <c r="O150" s="8" t="e" cm="1">
        <f t="array" aca="1" ref="O150" ca="1">ZKatzReduced($B150, O$69)</f>
        <v>#NAME?</v>
      </c>
      <c r="P150" s="8" t="e" cm="1">
        <f t="array" aca="1" ref="P150" ca="1">ZKatzReduced($B150, P$69)</f>
        <v>#NAME?</v>
      </c>
      <c r="Q150" s="8" t="e" cm="1">
        <f t="array" aca="1" ref="Q150" ca="1">ZKatzReduced($B150, Q$69)</f>
        <v>#NAME?</v>
      </c>
      <c r="R150" s="8" t="e" cm="1">
        <f t="array" aca="1" ref="R150" ca="1">ZKatzReduced($B150, R$69)</f>
        <v>#NAME?</v>
      </c>
    </row>
    <row r="151" spans="2:18" x14ac:dyDescent="0.45">
      <c r="B151" s="17">
        <f t="shared" si="14"/>
        <v>8.0999999999999872</v>
      </c>
      <c r="C151" s="8" t="e" cm="1">
        <f t="array" aca="1" ref="C151" ca="1">ZKatzReduced($B151, C$69)</f>
        <v>#NAME?</v>
      </c>
      <c r="D151" s="8" t="e" cm="1">
        <f t="array" aca="1" ref="D151" ca="1">ZKatzReduced($B151, D$69)</f>
        <v>#NAME?</v>
      </c>
      <c r="E151" s="8" t="e" cm="1">
        <f t="array" aca="1" ref="E151" ca="1">ZKatzReduced($B151, E$69)</f>
        <v>#NAME?</v>
      </c>
      <c r="F151" s="8" t="e" cm="1">
        <f t="array" aca="1" ref="F151" ca="1">ZKatzReduced($B151, F$69)</f>
        <v>#NAME?</v>
      </c>
      <c r="G151" s="8" t="e" cm="1">
        <f t="array" aca="1" ref="G151" ca="1">ZKatzReduced($B151, G$69)</f>
        <v>#NAME?</v>
      </c>
      <c r="H151" s="8" t="e" cm="1">
        <f t="array" aca="1" ref="H151" ca="1">ZKatzReduced($B151, H$69)</f>
        <v>#NAME?</v>
      </c>
      <c r="I151" s="8" t="e" cm="1">
        <f t="array" aca="1" ref="I151" ca="1">ZKatzReduced($B151, I$69)</f>
        <v>#NAME?</v>
      </c>
      <c r="J151" s="8" t="e" cm="1">
        <f t="array" aca="1" ref="J151" ca="1">ZKatzReduced($B151, J$69)</f>
        <v>#NAME?</v>
      </c>
      <c r="K151" s="8" t="e" cm="1">
        <f t="array" aca="1" ref="K151" ca="1">ZKatzReduced($B151, K$69)</f>
        <v>#NAME?</v>
      </c>
      <c r="L151" s="8" t="e" cm="1">
        <f t="array" aca="1" ref="L151" ca="1">ZKatzReduced($B151, L$69)</f>
        <v>#NAME?</v>
      </c>
      <c r="M151" s="8" t="e" cm="1">
        <f t="array" aca="1" ref="M151" ca="1">ZKatzReduced($B151, M$69)</f>
        <v>#NAME?</v>
      </c>
      <c r="N151" s="8" t="e" cm="1">
        <f t="array" aca="1" ref="N151" ca="1">ZKatzReduced($B151, N$69)</f>
        <v>#NAME?</v>
      </c>
      <c r="O151" s="8" t="e" cm="1">
        <f t="array" aca="1" ref="O151" ca="1">ZKatzReduced($B151, O$69)</f>
        <v>#NAME?</v>
      </c>
      <c r="P151" s="8" t="e" cm="1">
        <f t="array" aca="1" ref="P151" ca="1">ZKatzReduced($B151, P$69)</f>
        <v>#NAME?</v>
      </c>
      <c r="Q151" s="8" t="e" cm="1">
        <f t="array" aca="1" ref="Q151" ca="1">ZKatzReduced($B151, Q$69)</f>
        <v>#NAME?</v>
      </c>
      <c r="R151" s="8" t="e" cm="1">
        <f t="array" aca="1" ref="R151" ca="1">ZKatzReduced($B151, R$69)</f>
        <v>#NAME?</v>
      </c>
    </row>
    <row r="152" spans="2:18" x14ac:dyDescent="0.45">
      <c r="B152" s="17">
        <f t="shared" si="14"/>
        <v>8.1999999999999869</v>
      </c>
      <c r="C152" s="8" t="e" cm="1">
        <f t="array" aca="1" ref="C152" ca="1">ZKatzReduced($B152, C$69)</f>
        <v>#NAME?</v>
      </c>
      <c r="D152" s="8" t="e" cm="1">
        <f t="array" aca="1" ref="D152" ca="1">ZKatzReduced($B152, D$69)</f>
        <v>#NAME?</v>
      </c>
      <c r="E152" s="8" t="e" cm="1">
        <f t="array" aca="1" ref="E152" ca="1">ZKatzReduced($B152, E$69)</f>
        <v>#NAME?</v>
      </c>
      <c r="F152" s="8" t="e" cm="1">
        <f t="array" aca="1" ref="F152" ca="1">ZKatzReduced($B152, F$69)</f>
        <v>#NAME?</v>
      </c>
      <c r="G152" s="8" t="e" cm="1">
        <f t="array" aca="1" ref="G152" ca="1">ZKatzReduced($B152, G$69)</f>
        <v>#NAME?</v>
      </c>
      <c r="H152" s="8" t="e" cm="1">
        <f t="array" aca="1" ref="H152" ca="1">ZKatzReduced($B152, H$69)</f>
        <v>#NAME?</v>
      </c>
      <c r="I152" s="8" t="e" cm="1">
        <f t="array" aca="1" ref="I152" ca="1">ZKatzReduced($B152, I$69)</f>
        <v>#NAME?</v>
      </c>
      <c r="J152" s="8" t="e" cm="1">
        <f t="array" aca="1" ref="J152" ca="1">ZKatzReduced($B152, J$69)</f>
        <v>#NAME?</v>
      </c>
      <c r="K152" s="8" t="e" cm="1">
        <f t="array" aca="1" ref="K152" ca="1">ZKatzReduced($B152, K$69)</f>
        <v>#NAME?</v>
      </c>
      <c r="L152" s="8" t="e" cm="1">
        <f t="array" aca="1" ref="L152" ca="1">ZKatzReduced($B152, L$69)</f>
        <v>#NAME?</v>
      </c>
      <c r="M152" s="8" t="e" cm="1">
        <f t="array" aca="1" ref="M152" ca="1">ZKatzReduced($B152, M$69)</f>
        <v>#NAME?</v>
      </c>
      <c r="N152" s="8" t="e" cm="1">
        <f t="array" aca="1" ref="N152" ca="1">ZKatzReduced($B152, N$69)</f>
        <v>#NAME?</v>
      </c>
      <c r="O152" s="8" t="e" cm="1">
        <f t="array" aca="1" ref="O152" ca="1">ZKatzReduced($B152, O$69)</f>
        <v>#NAME?</v>
      </c>
      <c r="P152" s="8" t="e" cm="1">
        <f t="array" aca="1" ref="P152" ca="1">ZKatzReduced($B152, P$69)</f>
        <v>#NAME?</v>
      </c>
      <c r="Q152" s="8" t="e" cm="1">
        <f t="array" aca="1" ref="Q152" ca="1">ZKatzReduced($B152, Q$69)</f>
        <v>#NAME?</v>
      </c>
      <c r="R152" s="8" t="e" cm="1">
        <f t="array" aca="1" ref="R152" ca="1">ZKatzReduced($B152, R$69)</f>
        <v>#NAME?</v>
      </c>
    </row>
    <row r="153" spans="2:18" x14ac:dyDescent="0.45">
      <c r="B153" s="17">
        <f t="shared" si="14"/>
        <v>8.2999999999999865</v>
      </c>
      <c r="C153" s="8" t="e" cm="1">
        <f t="array" aca="1" ref="C153" ca="1">ZKatzReduced($B153, C$69)</f>
        <v>#NAME?</v>
      </c>
      <c r="D153" s="8" t="e" cm="1">
        <f t="array" aca="1" ref="D153" ca="1">ZKatzReduced($B153, D$69)</f>
        <v>#NAME?</v>
      </c>
      <c r="E153" s="8" t="e" cm="1">
        <f t="array" aca="1" ref="E153" ca="1">ZKatzReduced($B153, E$69)</f>
        <v>#NAME?</v>
      </c>
      <c r="F153" s="8" t="e" cm="1">
        <f t="array" aca="1" ref="F153" ca="1">ZKatzReduced($B153, F$69)</f>
        <v>#NAME?</v>
      </c>
      <c r="G153" s="8" t="e" cm="1">
        <f t="array" aca="1" ref="G153" ca="1">ZKatzReduced($B153, G$69)</f>
        <v>#NAME?</v>
      </c>
      <c r="H153" s="8" t="e" cm="1">
        <f t="array" aca="1" ref="H153" ca="1">ZKatzReduced($B153, H$69)</f>
        <v>#NAME?</v>
      </c>
      <c r="I153" s="8" t="e" cm="1">
        <f t="array" aca="1" ref="I153" ca="1">ZKatzReduced($B153, I$69)</f>
        <v>#NAME?</v>
      </c>
      <c r="J153" s="8" t="e" cm="1">
        <f t="array" aca="1" ref="J153" ca="1">ZKatzReduced($B153, J$69)</f>
        <v>#NAME?</v>
      </c>
      <c r="K153" s="8" t="e" cm="1">
        <f t="array" aca="1" ref="K153" ca="1">ZKatzReduced($B153, K$69)</f>
        <v>#NAME?</v>
      </c>
      <c r="L153" s="8" t="e" cm="1">
        <f t="array" aca="1" ref="L153" ca="1">ZKatzReduced($B153, L$69)</f>
        <v>#NAME?</v>
      </c>
      <c r="M153" s="8" t="e" cm="1">
        <f t="array" aca="1" ref="M153" ca="1">ZKatzReduced($B153, M$69)</f>
        <v>#NAME?</v>
      </c>
      <c r="N153" s="8" t="e" cm="1">
        <f t="array" aca="1" ref="N153" ca="1">ZKatzReduced($B153, N$69)</f>
        <v>#NAME?</v>
      </c>
      <c r="O153" s="8" t="e" cm="1">
        <f t="array" aca="1" ref="O153" ca="1">ZKatzReduced($B153, O$69)</f>
        <v>#NAME?</v>
      </c>
      <c r="P153" s="8" t="e" cm="1">
        <f t="array" aca="1" ref="P153" ca="1">ZKatzReduced($B153, P$69)</f>
        <v>#NAME?</v>
      </c>
      <c r="Q153" s="8" t="e" cm="1">
        <f t="array" aca="1" ref="Q153" ca="1">ZKatzReduced($B153, Q$69)</f>
        <v>#NAME?</v>
      </c>
      <c r="R153" s="8" t="e" cm="1">
        <f t="array" aca="1" ref="R153" ca="1">ZKatzReduced($B153, R$69)</f>
        <v>#NAME?</v>
      </c>
    </row>
    <row r="154" spans="2:18" x14ac:dyDescent="0.45">
      <c r="B154" s="17">
        <f t="shared" si="14"/>
        <v>8.3999999999999861</v>
      </c>
      <c r="C154" s="8" t="e" cm="1">
        <f t="array" aca="1" ref="C154" ca="1">ZKatzReduced($B154, C$69)</f>
        <v>#NAME?</v>
      </c>
      <c r="D154" s="8" t="e" cm="1">
        <f t="array" aca="1" ref="D154" ca="1">ZKatzReduced($B154, D$69)</f>
        <v>#NAME?</v>
      </c>
      <c r="E154" s="8" t="e" cm="1">
        <f t="array" aca="1" ref="E154" ca="1">ZKatzReduced($B154, E$69)</f>
        <v>#NAME?</v>
      </c>
      <c r="F154" s="8" t="e" cm="1">
        <f t="array" aca="1" ref="F154" ca="1">ZKatzReduced($B154, F$69)</f>
        <v>#NAME?</v>
      </c>
      <c r="G154" s="8" t="e" cm="1">
        <f t="array" aca="1" ref="G154" ca="1">ZKatzReduced($B154, G$69)</f>
        <v>#NAME?</v>
      </c>
      <c r="H154" s="8" t="e" cm="1">
        <f t="array" aca="1" ref="H154" ca="1">ZKatzReduced($B154, H$69)</f>
        <v>#NAME?</v>
      </c>
      <c r="I154" s="8" t="e" cm="1">
        <f t="array" aca="1" ref="I154" ca="1">ZKatzReduced($B154, I$69)</f>
        <v>#NAME?</v>
      </c>
      <c r="J154" s="8" t="e" cm="1">
        <f t="array" aca="1" ref="J154" ca="1">ZKatzReduced($B154, J$69)</f>
        <v>#NAME?</v>
      </c>
      <c r="K154" s="8" t="e" cm="1">
        <f t="array" aca="1" ref="K154" ca="1">ZKatzReduced($B154, K$69)</f>
        <v>#NAME?</v>
      </c>
      <c r="L154" s="8" t="e" cm="1">
        <f t="array" aca="1" ref="L154" ca="1">ZKatzReduced($B154, L$69)</f>
        <v>#NAME?</v>
      </c>
      <c r="M154" s="8" t="e" cm="1">
        <f t="array" aca="1" ref="M154" ca="1">ZKatzReduced($B154, M$69)</f>
        <v>#NAME?</v>
      </c>
      <c r="N154" s="8" t="e" cm="1">
        <f t="array" aca="1" ref="N154" ca="1">ZKatzReduced($B154, N$69)</f>
        <v>#NAME?</v>
      </c>
      <c r="O154" s="8" t="e" cm="1">
        <f t="array" aca="1" ref="O154" ca="1">ZKatzReduced($B154, O$69)</f>
        <v>#NAME?</v>
      </c>
      <c r="P154" s="8" t="e" cm="1">
        <f t="array" aca="1" ref="P154" ca="1">ZKatzReduced($B154, P$69)</f>
        <v>#NAME?</v>
      </c>
      <c r="Q154" s="8" t="e" cm="1">
        <f t="array" aca="1" ref="Q154" ca="1">ZKatzReduced($B154, Q$69)</f>
        <v>#NAME?</v>
      </c>
      <c r="R154" s="8" t="e" cm="1">
        <f t="array" aca="1" ref="R154" ca="1">ZKatzReduced($B154, R$69)</f>
        <v>#NAME?</v>
      </c>
    </row>
    <row r="155" spans="2:18" x14ac:dyDescent="0.45">
      <c r="B155" s="17">
        <f t="shared" si="14"/>
        <v>8.4999999999999858</v>
      </c>
      <c r="C155" s="8" t="e" cm="1">
        <f t="array" aca="1" ref="C155" ca="1">ZKatzReduced($B155, C$69)</f>
        <v>#NAME?</v>
      </c>
      <c r="D155" s="8" t="e" cm="1">
        <f t="array" aca="1" ref="D155" ca="1">ZKatzReduced($B155, D$69)</f>
        <v>#NAME?</v>
      </c>
      <c r="E155" s="8" t="e" cm="1">
        <f t="array" aca="1" ref="E155" ca="1">ZKatzReduced($B155, E$69)</f>
        <v>#NAME?</v>
      </c>
      <c r="F155" s="8" t="e" cm="1">
        <f t="array" aca="1" ref="F155" ca="1">ZKatzReduced($B155, F$69)</f>
        <v>#NAME?</v>
      </c>
      <c r="G155" s="8" t="e" cm="1">
        <f t="array" aca="1" ref="G155" ca="1">ZKatzReduced($B155, G$69)</f>
        <v>#NAME?</v>
      </c>
      <c r="H155" s="8" t="e" cm="1">
        <f t="array" aca="1" ref="H155" ca="1">ZKatzReduced($B155, H$69)</f>
        <v>#NAME?</v>
      </c>
      <c r="I155" s="8" t="e" cm="1">
        <f t="array" aca="1" ref="I155" ca="1">ZKatzReduced($B155, I$69)</f>
        <v>#NAME?</v>
      </c>
      <c r="J155" s="8" t="e" cm="1">
        <f t="array" aca="1" ref="J155" ca="1">ZKatzReduced($B155, J$69)</f>
        <v>#NAME?</v>
      </c>
      <c r="K155" s="8" t="e" cm="1">
        <f t="array" aca="1" ref="K155" ca="1">ZKatzReduced($B155, K$69)</f>
        <v>#NAME?</v>
      </c>
      <c r="L155" s="8" t="e" cm="1">
        <f t="array" aca="1" ref="L155" ca="1">ZKatzReduced($B155, L$69)</f>
        <v>#NAME?</v>
      </c>
      <c r="M155" s="8" t="e" cm="1">
        <f t="array" aca="1" ref="M155" ca="1">ZKatzReduced($B155, M$69)</f>
        <v>#NAME?</v>
      </c>
      <c r="N155" s="8" t="e" cm="1">
        <f t="array" aca="1" ref="N155" ca="1">ZKatzReduced($B155, N$69)</f>
        <v>#NAME?</v>
      </c>
      <c r="O155" s="8" t="e" cm="1">
        <f t="array" aca="1" ref="O155" ca="1">ZKatzReduced($B155, O$69)</f>
        <v>#NAME?</v>
      </c>
      <c r="P155" s="8" t="e" cm="1">
        <f t="array" aca="1" ref="P155" ca="1">ZKatzReduced($B155, P$69)</f>
        <v>#NAME?</v>
      </c>
      <c r="Q155" s="8" t="e" cm="1">
        <f t="array" aca="1" ref="Q155" ca="1">ZKatzReduced($B155, Q$69)</f>
        <v>#NAME?</v>
      </c>
      <c r="R155" s="8" t="e" cm="1">
        <f t="array" aca="1" ref="R155" ca="1">ZKatzReduced($B155, R$69)</f>
        <v>#NAME?</v>
      </c>
    </row>
    <row r="156" spans="2:18" x14ac:dyDescent="0.45">
      <c r="B156" s="17">
        <f t="shared" si="14"/>
        <v>8.5999999999999854</v>
      </c>
      <c r="C156" s="8" t="e" cm="1">
        <f t="array" aca="1" ref="C156" ca="1">ZKatzReduced($B156, C$69)</f>
        <v>#NAME?</v>
      </c>
      <c r="D156" s="8" t="e" cm="1">
        <f t="array" aca="1" ref="D156" ca="1">ZKatzReduced($B156, D$69)</f>
        <v>#NAME?</v>
      </c>
      <c r="E156" s="8" t="e" cm="1">
        <f t="array" aca="1" ref="E156" ca="1">ZKatzReduced($B156, E$69)</f>
        <v>#NAME?</v>
      </c>
      <c r="F156" s="8" t="e" cm="1">
        <f t="array" aca="1" ref="F156" ca="1">ZKatzReduced($B156, F$69)</f>
        <v>#NAME?</v>
      </c>
      <c r="G156" s="8" t="e" cm="1">
        <f t="array" aca="1" ref="G156" ca="1">ZKatzReduced($B156, G$69)</f>
        <v>#NAME?</v>
      </c>
      <c r="H156" s="8" t="e" cm="1">
        <f t="array" aca="1" ref="H156" ca="1">ZKatzReduced($B156, H$69)</f>
        <v>#NAME?</v>
      </c>
      <c r="I156" s="8" t="e" cm="1">
        <f t="array" aca="1" ref="I156" ca="1">ZKatzReduced($B156, I$69)</f>
        <v>#NAME?</v>
      </c>
      <c r="J156" s="8" t="e" cm="1">
        <f t="array" aca="1" ref="J156" ca="1">ZKatzReduced($B156, J$69)</f>
        <v>#NAME?</v>
      </c>
      <c r="K156" s="8" t="e" cm="1">
        <f t="array" aca="1" ref="K156" ca="1">ZKatzReduced($B156, K$69)</f>
        <v>#NAME?</v>
      </c>
      <c r="L156" s="8" t="e" cm="1">
        <f t="array" aca="1" ref="L156" ca="1">ZKatzReduced($B156, L$69)</f>
        <v>#NAME?</v>
      </c>
      <c r="M156" s="8" t="e" cm="1">
        <f t="array" aca="1" ref="M156" ca="1">ZKatzReduced($B156, M$69)</f>
        <v>#NAME?</v>
      </c>
      <c r="N156" s="8" t="e" cm="1">
        <f t="array" aca="1" ref="N156" ca="1">ZKatzReduced($B156, N$69)</f>
        <v>#NAME?</v>
      </c>
      <c r="O156" s="8" t="e" cm="1">
        <f t="array" aca="1" ref="O156" ca="1">ZKatzReduced($B156, O$69)</f>
        <v>#NAME?</v>
      </c>
      <c r="P156" s="8" t="e" cm="1">
        <f t="array" aca="1" ref="P156" ca="1">ZKatzReduced($B156, P$69)</f>
        <v>#NAME?</v>
      </c>
      <c r="Q156" s="8" t="e" cm="1">
        <f t="array" aca="1" ref="Q156" ca="1">ZKatzReduced($B156, Q$69)</f>
        <v>#NAME?</v>
      </c>
      <c r="R156" s="8" t="e" cm="1">
        <f t="array" aca="1" ref="R156" ca="1">ZKatzReduced($B156, R$69)</f>
        <v>#NAME?</v>
      </c>
    </row>
    <row r="157" spans="2:18" x14ac:dyDescent="0.45">
      <c r="B157" s="17">
        <f t="shared" si="14"/>
        <v>8.6999999999999851</v>
      </c>
      <c r="C157" s="8" t="e" cm="1">
        <f t="array" aca="1" ref="C157" ca="1">ZKatzReduced($B157, C$69)</f>
        <v>#NAME?</v>
      </c>
      <c r="D157" s="8" t="e" cm="1">
        <f t="array" aca="1" ref="D157" ca="1">ZKatzReduced($B157, D$69)</f>
        <v>#NAME?</v>
      </c>
      <c r="E157" s="8" t="e" cm="1">
        <f t="array" aca="1" ref="E157" ca="1">ZKatzReduced($B157, E$69)</f>
        <v>#NAME?</v>
      </c>
      <c r="F157" s="8" t="e" cm="1">
        <f t="array" aca="1" ref="F157" ca="1">ZKatzReduced($B157, F$69)</f>
        <v>#NAME?</v>
      </c>
      <c r="G157" s="8" t="e" cm="1">
        <f t="array" aca="1" ref="G157" ca="1">ZKatzReduced($B157, G$69)</f>
        <v>#NAME?</v>
      </c>
      <c r="H157" s="8" t="e" cm="1">
        <f t="array" aca="1" ref="H157" ca="1">ZKatzReduced($B157, H$69)</f>
        <v>#NAME?</v>
      </c>
      <c r="I157" s="8" t="e" cm="1">
        <f t="array" aca="1" ref="I157" ca="1">ZKatzReduced($B157, I$69)</f>
        <v>#NAME?</v>
      </c>
      <c r="J157" s="8" t="e" cm="1">
        <f t="array" aca="1" ref="J157" ca="1">ZKatzReduced($B157, J$69)</f>
        <v>#NAME?</v>
      </c>
      <c r="K157" s="8" t="e" cm="1">
        <f t="array" aca="1" ref="K157" ca="1">ZKatzReduced($B157, K$69)</f>
        <v>#NAME?</v>
      </c>
      <c r="L157" s="8" t="e" cm="1">
        <f t="array" aca="1" ref="L157" ca="1">ZKatzReduced($B157, L$69)</f>
        <v>#NAME?</v>
      </c>
      <c r="M157" s="8" t="e" cm="1">
        <f t="array" aca="1" ref="M157" ca="1">ZKatzReduced($B157, M$69)</f>
        <v>#NAME?</v>
      </c>
      <c r="N157" s="8" t="e" cm="1">
        <f t="array" aca="1" ref="N157" ca="1">ZKatzReduced($B157, N$69)</f>
        <v>#NAME?</v>
      </c>
      <c r="O157" s="8" t="e" cm="1">
        <f t="array" aca="1" ref="O157" ca="1">ZKatzReduced($B157, O$69)</f>
        <v>#NAME?</v>
      </c>
      <c r="P157" s="8" t="e" cm="1">
        <f t="array" aca="1" ref="P157" ca="1">ZKatzReduced($B157, P$69)</f>
        <v>#NAME?</v>
      </c>
      <c r="Q157" s="8" t="e" cm="1">
        <f t="array" aca="1" ref="Q157" ca="1">ZKatzReduced($B157, Q$69)</f>
        <v>#NAME?</v>
      </c>
      <c r="R157" s="8" t="e" cm="1">
        <f t="array" aca="1" ref="R157" ca="1">ZKatzReduced($B157, R$69)</f>
        <v>#NAME?</v>
      </c>
    </row>
    <row r="158" spans="2:18" x14ac:dyDescent="0.45">
      <c r="B158" s="17">
        <f t="shared" si="14"/>
        <v>8.7999999999999847</v>
      </c>
      <c r="C158" s="8" t="e" cm="1">
        <f t="array" aca="1" ref="C158" ca="1">ZKatzReduced($B158, C$69)</f>
        <v>#NAME?</v>
      </c>
      <c r="D158" s="8" t="e" cm="1">
        <f t="array" aca="1" ref="D158" ca="1">ZKatzReduced($B158, D$69)</f>
        <v>#NAME?</v>
      </c>
      <c r="E158" s="8" t="e" cm="1">
        <f t="array" aca="1" ref="E158" ca="1">ZKatzReduced($B158, E$69)</f>
        <v>#NAME?</v>
      </c>
      <c r="F158" s="8" t="e" cm="1">
        <f t="array" aca="1" ref="F158" ca="1">ZKatzReduced($B158, F$69)</f>
        <v>#NAME?</v>
      </c>
      <c r="G158" s="8" t="e" cm="1">
        <f t="array" aca="1" ref="G158" ca="1">ZKatzReduced($B158, G$69)</f>
        <v>#NAME?</v>
      </c>
      <c r="H158" s="8" t="e" cm="1">
        <f t="array" aca="1" ref="H158" ca="1">ZKatzReduced($B158, H$69)</f>
        <v>#NAME?</v>
      </c>
      <c r="I158" s="8" t="e" cm="1">
        <f t="array" aca="1" ref="I158" ca="1">ZKatzReduced($B158, I$69)</f>
        <v>#NAME?</v>
      </c>
      <c r="J158" s="8" t="e" cm="1">
        <f t="array" aca="1" ref="J158" ca="1">ZKatzReduced($B158, J$69)</f>
        <v>#NAME?</v>
      </c>
      <c r="K158" s="8" t="e" cm="1">
        <f t="array" aca="1" ref="K158" ca="1">ZKatzReduced($B158, K$69)</f>
        <v>#NAME?</v>
      </c>
      <c r="L158" s="8" t="e" cm="1">
        <f t="array" aca="1" ref="L158" ca="1">ZKatzReduced($B158, L$69)</f>
        <v>#NAME?</v>
      </c>
      <c r="M158" s="8" t="e" cm="1">
        <f t="array" aca="1" ref="M158" ca="1">ZKatzReduced($B158, M$69)</f>
        <v>#NAME?</v>
      </c>
      <c r="N158" s="8" t="e" cm="1">
        <f t="array" aca="1" ref="N158" ca="1">ZKatzReduced($B158, N$69)</f>
        <v>#NAME?</v>
      </c>
      <c r="O158" s="8" t="e" cm="1">
        <f t="array" aca="1" ref="O158" ca="1">ZKatzReduced($B158, O$69)</f>
        <v>#NAME?</v>
      </c>
      <c r="P158" s="8" t="e" cm="1">
        <f t="array" aca="1" ref="P158" ca="1">ZKatzReduced($B158, P$69)</f>
        <v>#NAME?</v>
      </c>
      <c r="Q158" s="8" t="e" cm="1">
        <f t="array" aca="1" ref="Q158" ca="1">ZKatzReduced($B158, Q$69)</f>
        <v>#NAME?</v>
      </c>
      <c r="R158" s="8" t="e" cm="1">
        <f t="array" aca="1" ref="R158" ca="1">ZKatzReduced($B158, R$69)</f>
        <v>#NAME?</v>
      </c>
    </row>
    <row r="159" spans="2:18" x14ac:dyDescent="0.45">
      <c r="B159" s="17">
        <f t="shared" si="14"/>
        <v>8.8999999999999844</v>
      </c>
      <c r="C159" s="8" t="e" cm="1">
        <f t="array" aca="1" ref="C159" ca="1">ZKatzReduced($B159, C$69)</f>
        <v>#NAME?</v>
      </c>
      <c r="D159" s="8" t="e" cm="1">
        <f t="array" aca="1" ref="D159" ca="1">ZKatzReduced($B159, D$69)</f>
        <v>#NAME?</v>
      </c>
      <c r="E159" s="8" t="e" cm="1">
        <f t="array" aca="1" ref="E159" ca="1">ZKatzReduced($B159, E$69)</f>
        <v>#NAME?</v>
      </c>
      <c r="F159" s="8" t="e" cm="1">
        <f t="array" aca="1" ref="F159" ca="1">ZKatzReduced($B159, F$69)</f>
        <v>#NAME?</v>
      </c>
      <c r="G159" s="8" t="e" cm="1">
        <f t="array" aca="1" ref="G159" ca="1">ZKatzReduced($B159, G$69)</f>
        <v>#NAME?</v>
      </c>
      <c r="H159" s="8" t="e" cm="1">
        <f t="array" aca="1" ref="H159" ca="1">ZKatzReduced($B159, H$69)</f>
        <v>#NAME?</v>
      </c>
      <c r="I159" s="8" t="e" cm="1">
        <f t="array" aca="1" ref="I159" ca="1">ZKatzReduced($B159, I$69)</f>
        <v>#NAME?</v>
      </c>
      <c r="J159" s="8" t="e" cm="1">
        <f t="array" aca="1" ref="J159" ca="1">ZKatzReduced($B159, J$69)</f>
        <v>#NAME?</v>
      </c>
      <c r="K159" s="8" t="e" cm="1">
        <f t="array" aca="1" ref="K159" ca="1">ZKatzReduced($B159, K$69)</f>
        <v>#NAME?</v>
      </c>
      <c r="L159" s="8" t="e" cm="1">
        <f t="array" aca="1" ref="L159" ca="1">ZKatzReduced($B159, L$69)</f>
        <v>#NAME?</v>
      </c>
      <c r="M159" s="8" t="e" cm="1">
        <f t="array" aca="1" ref="M159" ca="1">ZKatzReduced($B159, M$69)</f>
        <v>#NAME?</v>
      </c>
      <c r="N159" s="8" t="e" cm="1">
        <f t="array" aca="1" ref="N159" ca="1">ZKatzReduced($B159, N$69)</f>
        <v>#NAME?</v>
      </c>
      <c r="O159" s="8" t="e" cm="1">
        <f t="array" aca="1" ref="O159" ca="1">ZKatzReduced($B159, O$69)</f>
        <v>#NAME?</v>
      </c>
      <c r="P159" s="8" t="e" cm="1">
        <f t="array" aca="1" ref="P159" ca="1">ZKatzReduced($B159, P$69)</f>
        <v>#NAME?</v>
      </c>
      <c r="Q159" s="8" t="e" cm="1">
        <f t="array" aca="1" ref="Q159" ca="1">ZKatzReduced($B159, Q$69)</f>
        <v>#NAME?</v>
      </c>
      <c r="R159" s="8" t="e" cm="1">
        <f t="array" aca="1" ref="R159" ca="1">ZKatzReduced($B159, R$69)</f>
        <v>#NAME?</v>
      </c>
    </row>
    <row r="160" spans="2:18" x14ac:dyDescent="0.45">
      <c r="B160" s="17">
        <f t="shared" si="14"/>
        <v>8.999999999999984</v>
      </c>
      <c r="C160" s="8" t="e" cm="1">
        <f t="array" aca="1" ref="C160" ca="1">ZKatzReduced($B160, C$69)</f>
        <v>#NAME?</v>
      </c>
      <c r="D160" s="8" t="e" cm="1">
        <f t="array" aca="1" ref="D160" ca="1">ZKatzReduced($B160, D$69)</f>
        <v>#NAME?</v>
      </c>
      <c r="E160" s="8" t="e" cm="1">
        <f t="array" aca="1" ref="E160" ca="1">ZKatzReduced($B160, E$69)</f>
        <v>#NAME?</v>
      </c>
      <c r="F160" s="8" t="e" cm="1">
        <f t="array" aca="1" ref="F160" ca="1">ZKatzReduced($B160, F$69)</f>
        <v>#NAME?</v>
      </c>
      <c r="G160" s="8" t="e" cm="1">
        <f t="array" aca="1" ref="G160" ca="1">ZKatzReduced($B160, G$69)</f>
        <v>#NAME?</v>
      </c>
      <c r="H160" s="8" t="e" cm="1">
        <f t="array" aca="1" ref="H160" ca="1">ZKatzReduced($B160, H$69)</f>
        <v>#NAME?</v>
      </c>
      <c r="I160" s="8" t="e" cm="1">
        <f t="array" aca="1" ref="I160" ca="1">ZKatzReduced($B160, I$69)</f>
        <v>#NAME?</v>
      </c>
      <c r="J160" s="8" t="e" cm="1">
        <f t="array" aca="1" ref="J160" ca="1">ZKatzReduced($B160, J$69)</f>
        <v>#NAME?</v>
      </c>
      <c r="K160" s="8" t="e" cm="1">
        <f t="array" aca="1" ref="K160" ca="1">ZKatzReduced($B160, K$69)</f>
        <v>#NAME?</v>
      </c>
      <c r="L160" s="8" t="e" cm="1">
        <f t="array" aca="1" ref="L160" ca="1">ZKatzReduced($B160, L$69)</f>
        <v>#NAME?</v>
      </c>
      <c r="M160" s="8" t="e" cm="1">
        <f t="array" aca="1" ref="M160" ca="1">ZKatzReduced($B160, M$69)</f>
        <v>#NAME?</v>
      </c>
      <c r="N160" s="8" t="e" cm="1">
        <f t="array" aca="1" ref="N160" ca="1">ZKatzReduced($B160, N$69)</f>
        <v>#NAME?</v>
      </c>
      <c r="O160" s="8" t="e" cm="1">
        <f t="array" aca="1" ref="O160" ca="1">ZKatzReduced($B160, O$69)</f>
        <v>#NAME?</v>
      </c>
      <c r="P160" s="8" t="e" cm="1">
        <f t="array" aca="1" ref="P160" ca="1">ZKatzReduced($B160, P$69)</f>
        <v>#NAME?</v>
      </c>
      <c r="Q160" s="8" t="e" cm="1">
        <f t="array" aca="1" ref="Q160" ca="1">ZKatzReduced($B160, Q$69)</f>
        <v>#NAME?</v>
      </c>
      <c r="R160" s="8" t="e" cm="1">
        <f t="array" aca="1" ref="R160" ca="1">ZKatzReduced($B160, R$69)</f>
        <v>#NAME?</v>
      </c>
    </row>
    <row r="161" spans="2:18" x14ac:dyDescent="0.45">
      <c r="B161" s="17">
        <f t="shared" si="14"/>
        <v>9.0999999999999837</v>
      </c>
      <c r="C161" s="8" t="e" cm="1">
        <f t="array" aca="1" ref="C161" ca="1">ZKatzReduced($B161, C$69)</f>
        <v>#NAME?</v>
      </c>
      <c r="D161" s="8" t="e" cm="1">
        <f t="array" aca="1" ref="D161" ca="1">ZKatzReduced($B161, D$69)</f>
        <v>#NAME?</v>
      </c>
      <c r="E161" s="8" t="e" cm="1">
        <f t="array" aca="1" ref="E161" ca="1">ZKatzReduced($B161, E$69)</f>
        <v>#NAME?</v>
      </c>
      <c r="F161" s="8" t="e" cm="1">
        <f t="array" aca="1" ref="F161" ca="1">ZKatzReduced($B161, F$69)</f>
        <v>#NAME?</v>
      </c>
      <c r="G161" s="8" t="e" cm="1">
        <f t="array" aca="1" ref="G161" ca="1">ZKatzReduced($B161, G$69)</f>
        <v>#NAME?</v>
      </c>
      <c r="H161" s="8" t="e" cm="1">
        <f t="array" aca="1" ref="H161" ca="1">ZKatzReduced($B161, H$69)</f>
        <v>#NAME?</v>
      </c>
      <c r="I161" s="8" t="e" cm="1">
        <f t="array" aca="1" ref="I161" ca="1">ZKatzReduced($B161, I$69)</f>
        <v>#NAME?</v>
      </c>
      <c r="J161" s="8" t="e" cm="1">
        <f t="array" aca="1" ref="J161" ca="1">ZKatzReduced($B161, J$69)</f>
        <v>#NAME?</v>
      </c>
      <c r="K161" s="8" t="e" cm="1">
        <f t="array" aca="1" ref="K161" ca="1">ZKatzReduced($B161, K$69)</f>
        <v>#NAME?</v>
      </c>
      <c r="L161" s="8" t="e" cm="1">
        <f t="array" aca="1" ref="L161" ca="1">ZKatzReduced($B161, L$69)</f>
        <v>#NAME?</v>
      </c>
      <c r="M161" s="8" t="e" cm="1">
        <f t="array" aca="1" ref="M161" ca="1">ZKatzReduced($B161, M$69)</f>
        <v>#NAME?</v>
      </c>
      <c r="N161" s="8" t="e" cm="1">
        <f t="array" aca="1" ref="N161" ca="1">ZKatzReduced($B161, N$69)</f>
        <v>#NAME?</v>
      </c>
      <c r="O161" s="8" t="e" cm="1">
        <f t="array" aca="1" ref="O161" ca="1">ZKatzReduced($B161, O$69)</f>
        <v>#NAME?</v>
      </c>
      <c r="P161" s="8" t="e" cm="1">
        <f t="array" aca="1" ref="P161" ca="1">ZKatzReduced($B161, P$69)</f>
        <v>#NAME?</v>
      </c>
      <c r="Q161" s="8" t="e" cm="1">
        <f t="array" aca="1" ref="Q161" ca="1">ZKatzReduced($B161, Q$69)</f>
        <v>#NAME?</v>
      </c>
      <c r="R161" s="8" t="e" cm="1">
        <f t="array" aca="1" ref="R161" ca="1">ZKatzReduced($B161, R$69)</f>
        <v>#NAME?</v>
      </c>
    </row>
    <row r="162" spans="2:18" x14ac:dyDescent="0.45">
      <c r="B162" s="17">
        <f t="shared" si="14"/>
        <v>9.1999999999999833</v>
      </c>
      <c r="C162" s="8" t="e" cm="1">
        <f t="array" aca="1" ref="C162" ca="1">ZKatzReduced($B162, C$69)</f>
        <v>#NAME?</v>
      </c>
      <c r="D162" s="8" t="e" cm="1">
        <f t="array" aca="1" ref="D162" ca="1">ZKatzReduced($B162, D$69)</f>
        <v>#NAME?</v>
      </c>
      <c r="E162" s="8" t="e" cm="1">
        <f t="array" aca="1" ref="E162" ca="1">ZKatzReduced($B162, E$69)</f>
        <v>#NAME?</v>
      </c>
      <c r="F162" s="8" t="e" cm="1">
        <f t="array" aca="1" ref="F162" ca="1">ZKatzReduced($B162, F$69)</f>
        <v>#NAME?</v>
      </c>
      <c r="G162" s="8" t="e" cm="1">
        <f t="array" aca="1" ref="G162" ca="1">ZKatzReduced($B162, G$69)</f>
        <v>#NAME?</v>
      </c>
      <c r="H162" s="8" t="e" cm="1">
        <f t="array" aca="1" ref="H162" ca="1">ZKatzReduced($B162, H$69)</f>
        <v>#NAME?</v>
      </c>
      <c r="I162" s="8" t="e" cm="1">
        <f t="array" aca="1" ref="I162" ca="1">ZKatzReduced($B162, I$69)</f>
        <v>#NAME?</v>
      </c>
      <c r="J162" s="8" t="e" cm="1">
        <f t="array" aca="1" ref="J162" ca="1">ZKatzReduced($B162, J$69)</f>
        <v>#NAME?</v>
      </c>
      <c r="K162" s="8" t="e" cm="1">
        <f t="array" aca="1" ref="K162" ca="1">ZKatzReduced($B162, K$69)</f>
        <v>#NAME?</v>
      </c>
      <c r="L162" s="8" t="e" cm="1">
        <f t="array" aca="1" ref="L162" ca="1">ZKatzReduced($B162, L$69)</f>
        <v>#NAME?</v>
      </c>
      <c r="M162" s="8" t="e" cm="1">
        <f t="array" aca="1" ref="M162" ca="1">ZKatzReduced($B162, M$69)</f>
        <v>#NAME?</v>
      </c>
      <c r="N162" s="8" t="e" cm="1">
        <f t="array" aca="1" ref="N162" ca="1">ZKatzReduced($B162, N$69)</f>
        <v>#NAME?</v>
      </c>
      <c r="O162" s="8" t="e" cm="1">
        <f t="array" aca="1" ref="O162" ca="1">ZKatzReduced($B162, O$69)</f>
        <v>#NAME?</v>
      </c>
      <c r="P162" s="8" t="e" cm="1">
        <f t="array" aca="1" ref="P162" ca="1">ZKatzReduced($B162, P$69)</f>
        <v>#NAME?</v>
      </c>
      <c r="Q162" s="8" t="e" cm="1">
        <f t="array" aca="1" ref="Q162" ca="1">ZKatzReduced($B162, Q$69)</f>
        <v>#NAME?</v>
      </c>
      <c r="R162" s="8" t="e" cm="1">
        <f t="array" aca="1" ref="R162" ca="1">ZKatzReduced($B162, R$69)</f>
        <v>#NAME?</v>
      </c>
    </row>
    <row r="163" spans="2:18" x14ac:dyDescent="0.45">
      <c r="B163" s="17">
        <f t="shared" si="14"/>
        <v>9.2999999999999829</v>
      </c>
      <c r="C163" s="8" t="e" cm="1">
        <f t="array" aca="1" ref="C163" ca="1">ZKatzReduced($B163, C$69)</f>
        <v>#NAME?</v>
      </c>
      <c r="D163" s="8" t="e" cm="1">
        <f t="array" aca="1" ref="D163" ca="1">ZKatzReduced($B163, D$69)</f>
        <v>#NAME?</v>
      </c>
      <c r="E163" s="8" t="e" cm="1">
        <f t="array" aca="1" ref="E163" ca="1">ZKatzReduced($B163, E$69)</f>
        <v>#NAME?</v>
      </c>
      <c r="F163" s="8" t="e" cm="1">
        <f t="array" aca="1" ref="F163" ca="1">ZKatzReduced($B163, F$69)</f>
        <v>#NAME?</v>
      </c>
      <c r="G163" s="8" t="e" cm="1">
        <f t="array" aca="1" ref="G163" ca="1">ZKatzReduced($B163, G$69)</f>
        <v>#NAME?</v>
      </c>
      <c r="H163" s="8" t="e" cm="1">
        <f t="array" aca="1" ref="H163" ca="1">ZKatzReduced($B163, H$69)</f>
        <v>#NAME?</v>
      </c>
      <c r="I163" s="8" t="e" cm="1">
        <f t="array" aca="1" ref="I163" ca="1">ZKatzReduced($B163, I$69)</f>
        <v>#NAME?</v>
      </c>
      <c r="J163" s="8" t="e" cm="1">
        <f t="array" aca="1" ref="J163" ca="1">ZKatzReduced($B163, J$69)</f>
        <v>#NAME?</v>
      </c>
      <c r="K163" s="8" t="e" cm="1">
        <f t="array" aca="1" ref="K163" ca="1">ZKatzReduced($B163, K$69)</f>
        <v>#NAME?</v>
      </c>
      <c r="L163" s="8" t="e" cm="1">
        <f t="array" aca="1" ref="L163" ca="1">ZKatzReduced($B163, L$69)</f>
        <v>#NAME?</v>
      </c>
      <c r="M163" s="8" t="e" cm="1">
        <f t="array" aca="1" ref="M163" ca="1">ZKatzReduced($B163, M$69)</f>
        <v>#NAME?</v>
      </c>
      <c r="N163" s="8" t="e" cm="1">
        <f t="array" aca="1" ref="N163" ca="1">ZKatzReduced($B163, N$69)</f>
        <v>#NAME?</v>
      </c>
      <c r="O163" s="8" t="e" cm="1">
        <f t="array" aca="1" ref="O163" ca="1">ZKatzReduced($B163, O$69)</f>
        <v>#NAME?</v>
      </c>
      <c r="P163" s="8" t="e" cm="1">
        <f t="array" aca="1" ref="P163" ca="1">ZKatzReduced($B163, P$69)</f>
        <v>#NAME?</v>
      </c>
      <c r="Q163" s="8" t="e" cm="1">
        <f t="array" aca="1" ref="Q163" ca="1">ZKatzReduced($B163, Q$69)</f>
        <v>#NAME?</v>
      </c>
      <c r="R163" s="8" t="e" cm="1">
        <f t="array" aca="1" ref="R163" ca="1">ZKatzReduced($B163, R$69)</f>
        <v>#NAME?</v>
      </c>
    </row>
    <row r="164" spans="2:18" x14ac:dyDescent="0.45">
      <c r="B164" s="17">
        <f t="shared" si="14"/>
        <v>9.3999999999999826</v>
      </c>
      <c r="C164" s="8" t="e" cm="1">
        <f t="array" aca="1" ref="C164" ca="1">ZKatzReduced($B164, C$69)</f>
        <v>#NAME?</v>
      </c>
      <c r="D164" s="8" t="e" cm="1">
        <f t="array" aca="1" ref="D164" ca="1">ZKatzReduced($B164, D$69)</f>
        <v>#NAME?</v>
      </c>
      <c r="E164" s="8" t="e" cm="1">
        <f t="array" aca="1" ref="E164" ca="1">ZKatzReduced($B164, E$69)</f>
        <v>#NAME?</v>
      </c>
      <c r="F164" s="8" t="e" cm="1">
        <f t="array" aca="1" ref="F164" ca="1">ZKatzReduced($B164, F$69)</f>
        <v>#NAME?</v>
      </c>
      <c r="G164" s="8" t="e" cm="1">
        <f t="array" aca="1" ref="G164" ca="1">ZKatzReduced($B164, G$69)</f>
        <v>#NAME?</v>
      </c>
      <c r="H164" s="8" t="e" cm="1">
        <f t="array" aca="1" ref="H164" ca="1">ZKatzReduced($B164, H$69)</f>
        <v>#NAME?</v>
      </c>
      <c r="I164" s="8" t="e" cm="1">
        <f t="array" aca="1" ref="I164" ca="1">ZKatzReduced($B164, I$69)</f>
        <v>#NAME?</v>
      </c>
      <c r="J164" s="8" t="e" cm="1">
        <f t="array" aca="1" ref="J164" ca="1">ZKatzReduced($B164, J$69)</f>
        <v>#NAME?</v>
      </c>
      <c r="K164" s="8" t="e" cm="1">
        <f t="array" aca="1" ref="K164" ca="1">ZKatzReduced($B164, K$69)</f>
        <v>#NAME?</v>
      </c>
      <c r="L164" s="8" t="e" cm="1">
        <f t="array" aca="1" ref="L164" ca="1">ZKatzReduced($B164, L$69)</f>
        <v>#NAME?</v>
      </c>
      <c r="M164" s="8" t="e" cm="1">
        <f t="array" aca="1" ref="M164" ca="1">ZKatzReduced($B164, M$69)</f>
        <v>#NAME?</v>
      </c>
      <c r="N164" s="8" t="e" cm="1">
        <f t="array" aca="1" ref="N164" ca="1">ZKatzReduced($B164, N$69)</f>
        <v>#NAME?</v>
      </c>
      <c r="O164" s="8" t="e" cm="1">
        <f t="array" aca="1" ref="O164" ca="1">ZKatzReduced($B164, O$69)</f>
        <v>#NAME?</v>
      </c>
      <c r="P164" s="8" t="e" cm="1">
        <f t="array" aca="1" ref="P164" ca="1">ZKatzReduced($B164, P$69)</f>
        <v>#NAME?</v>
      </c>
      <c r="Q164" s="8" t="e" cm="1">
        <f t="array" aca="1" ref="Q164" ca="1">ZKatzReduced($B164, Q$69)</f>
        <v>#NAME?</v>
      </c>
      <c r="R164" s="8" t="e" cm="1">
        <f t="array" aca="1" ref="R164" ca="1">ZKatzReduced($B164, R$69)</f>
        <v>#NAME?</v>
      </c>
    </row>
    <row r="165" spans="2:18" x14ac:dyDescent="0.45">
      <c r="B165" s="17">
        <f t="shared" si="14"/>
        <v>9.4999999999999822</v>
      </c>
      <c r="C165" s="8" t="e" cm="1">
        <f t="array" aca="1" ref="C165" ca="1">ZKatzReduced($B165, C$69)</f>
        <v>#NAME?</v>
      </c>
      <c r="D165" s="8" t="e" cm="1">
        <f t="array" aca="1" ref="D165" ca="1">ZKatzReduced($B165, D$69)</f>
        <v>#NAME?</v>
      </c>
      <c r="E165" s="8" t="e" cm="1">
        <f t="array" aca="1" ref="E165" ca="1">ZKatzReduced($B165, E$69)</f>
        <v>#NAME?</v>
      </c>
      <c r="F165" s="8" t="e" cm="1">
        <f t="array" aca="1" ref="F165" ca="1">ZKatzReduced($B165, F$69)</f>
        <v>#NAME?</v>
      </c>
      <c r="G165" s="8" t="e" cm="1">
        <f t="array" aca="1" ref="G165" ca="1">ZKatzReduced($B165, G$69)</f>
        <v>#NAME?</v>
      </c>
      <c r="H165" s="8" t="e" cm="1">
        <f t="array" aca="1" ref="H165" ca="1">ZKatzReduced($B165, H$69)</f>
        <v>#NAME?</v>
      </c>
      <c r="I165" s="8" t="e" cm="1">
        <f t="array" aca="1" ref="I165" ca="1">ZKatzReduced($B165, I$69)</f>
        <v>#NAME?</v>
      </c>
      <c r="J165" s="8" t="e" cm="1">
        <f t="array" aca="1" ref="J165" ca="1">ZKatzReduced($B165, J$69)</f>
        <v>#NAME?</v>
      </c>
      <c r="K165" s="8" t="e" cm="1">
        <f t="array" aca="1" ref="K165" ca="1">ZKatzReduced($B165, K$69)</f>
        <v>#NAME?</v>
      </c>
      <c r="L165" s="8" t="e" cm="1">
        <f t="array" aca="1" ref="L165" ca="1">ZKatzReduced($B165, L$69)</f>
        <v>#NAME?</v>
      </c>
      <c r="M165" s="8" t="e" cm="1">
        <f t="array" aca="1" ref="M165" ca="1">ZKatzReduced($B165, M$69)</f>
        <v>#NAME?</v>
      </c>
      <c r="N165" s="8" t="e" cm="1">
        <f t="array" aca="1" ref="N165" ca="1">ZKatzReduced($B165, N$69)</f>
        <v>#NAME?</v>
      </c>
      <c r="O165" s="8" t="e" cm="1">
        <f t="array" aca="1" ref="O165" ca="1">ZKatzReduced($B165, O$69)</f>
        <v>#NAME?</v>
      </c>
      <c r="P165" s="8" t="e" cm="1">
        <f t="array" aca="1" ref="P165" ca="1">ZKatzReduced($B165, P$69)</f>
        <v>#NAME?</v>
      </c>
      <c r="Q165" s="8" t="e" cm="1">
        <f t="array" aca="1" ref="Q165" ca="1">ZKatzReduced($B165, Q$69)</f>
        <v>#NAME?</v>
      </c>
      <c r="R165" s="8" t="e" cm="1">
        <f t="array" aca="1" ref="R165" ca="1">ZKatzReduced($B165, R$69)</f>
        <v>#NAME?</v>
      </c>
    </row>
    <row r="166" spans="2:18" x14ac:dyDescent="0.45">
      <c r="B166" s="17">
        <f t="shared" si="14"/>
        <v>9.5999999999999819</v>
      </c>
      <c r="C166" s="8" t="e" cm="1">
        <f t="array" aca="1" ref="C166" ca="1">ZKatzReduced($B166, C$69)</f>
        <v>#NAME?</v>
      </c>
      <c r="D166" s="8" t="e" cm="1">
        <f t="array" aca="1" ref="D166" ca="1">ZKatzReduced($B166, D$69)</f>
        <v>#NAME?</v>
      </c>
      <c r="E166" s="8" t="e" cm="1">
        <f t="array" aca="1" ref="E166" ca="1">ZKatzReduced($B166, E$69)</f>
        <v>#NAME?</v>
      </c>
      <c r="F166" s="8" t="e" cm="1">
        <f t="array" aca="1" ref="F166" ca="1">ZKatzReduced($B166, F$69)</f>
        <v>#NAME?</v>
      </c>
      <c r="G166" s="8" t="e" cm="1">
        <f t="array" aca="1" ref="G166" ca="1">ZKatzReduced($B166, G$69)</f>
        <v>#NAME?</v>
      </c>
      <c r="H166" s="8" t="e" cm="1">
        <f t="array" aca="1" ref="H166" ca="1">ZKatzReduced($B166, H$69)</f>
        <v>#NAME?</v>
      </c>
      <c r="I166" s="8" t="e" cm="1">
        <f t="array" aca="1" ref="I166" ca="1">ZKatzReduced($B166, I$69)</f>
        <v>#NAME?</v>
      </c>
      <c r="J166" s="8" t="e" cm="1">
        <f t="array" aca="1" ref="J166" ca="1">ZKatzReduced($B166, J$69)</f>
        <v>#NAME?</v>
      </c>
      <c r="K166" s="8" t="e" cm="1">
        <f t="array" aca="1" ref="K166" ca="1">ZKatzReduced($B166, K$69)</f>
        <v>#NAME?</v>
      </c>
      <c r="L166" s="8" t="e" cm="1">
        <f t="array" aca="1" ref="L166" ca="1">ZKatzReduced($B166, L$69)</f>
        <v>#NAME?</v>
      </c>
      <c r="M166" s="8" t="e" cm="1">
        <f t="array" aca="1" ref="M166" ca="1">ZKatzReduced($B166, M$69)</f>
        <v>#NAME?</v>
      </c>
      <c r="N166" s="8" t="e" cm="1">
        <f t="array" aca="1" ref="N166" ca="1">ZKatzReduced($B166, N$69)</f>
        <v>#NAME?</v>
      </c>
      <c r="O166" s="8" t="e" cm="1">
        <f t="array" aca="1" ref="O166" ca="1">ZKatzReduced($B166, O$69)</f>
        <v>#NAME?</v>
      </c>
      <c r="P166" s="8" t="e" cm="1">
        <f t="array" aca="1" ref="P166" ca="1">ZKatzReduced($B166, P$69)</f>
        <v>#NAME?</v>
      </c>
      <c r="Q166" s="8" t="e" cm="1">
        <f t="array" aca="1" ref="Q166" ca="1">ZKatzReduced($B166, Q$69)</f>
        <v>#NAME?</v>
      </c>
      <c r="R166" s="8" t="e" cm="1">
        <f t="array" aca="1" ref="R166" ca="1">ZKatzReduced($B166, R$69)</f>
        <v>#NAME?</v>
      </c>
    </row>
    <row r="167" spans="2:18" x14ac:dyDescent="0.45">
      <c r="B167" s="17">
        <f t="shared" si="14"/>
        <v>9.6999999999999815</v>
      </c>
      <c r="C167" s="8" t="e" cm="1">
        <f t="array" aca="1" ref="C167" ca="1">ZKatzReduced($B167, C$69)</f>
        <v>#NAME?</v>
      </c>
      <c r="D167" s="8" t="e" cm="1">
        <f t="array" aca="1" ref="D167" ca="1">ZKatzReduced($B167, D$69)</f>
        <v>#NAME?</v>
      </c>
      <c r="E167" s="8" t="e" cm="1">
        <f t="array" aca="1" ref="E167" ca="1">ZKatzReduced($B167, E$69)</f>
        <v>#NAME?</v>
      </c>
      <c r="F167" s="8" t="e" cm="1">
        <f t="array" aca="1" ref="F167" ca="1">ZKatzReduced($B167, F$69)</f>
        <v>#NAME?</v>
      </c>
      <c r="G167" s="8" t="e" cm="1">
        <f t="array" aca="1" ref="G167" ca="1">ZKatzReduced($B167, G$69)</f>
        <v>#NAME?</v>
      </c>
      <c r="H167" s="8" t="e" cm="1">
        <f t="array" aca="1" ref="H167" ca="1">ZKatzReduced($B167, H$69)</f>
        <v>#NAME?</v>
      </c>
      <c r="I167" s="8" t="e" cm="1">
        <f t="array" aca="1" ref="I167" ca="1">ZKatzReduced($B167, I$69)</f>
        <v>#NAME?</v>
      </c>
      <c r="J167" s="8" t="e" cm="1">
        <f t="array" aca="1" ref="J167" ca="1">ZKatzReduced($B167, J$69)</f>
        <v>#NAME?</v>
      </c>
      <c r="K167" s="8" t="e" cm="1">
        <f t="array" aca="1" ref="K167" ca="1">ZKatzReduced($B167, K$69)</f>
        <v>#NAME?</v>
      </c>
      <c r="L167" s="8" t="e" cm="1">
        <f t="array" aca="1" ref="L167" ca="1">ZKatzReduced($B167, L$69)</f>
        <v>#NAME?</v>
      </c>
      <c r="M167" s="8" t="e" cm="1">
        <f t="array" aca="1" ref="M167" ca="1">ZKatzReduced($B167, M$69)</f>
        <v>#NAME?</v>
      </c>
      <c r="N167" s="8" t="e" cm="1">
        <f t="array" aca="1" ref="N167" ca="1">ZKatzReduced($B167, N$69)</f>
        <v>#NAME?</v>
      </c>
      <c r="O167" s="8" t="e" cm="1">
        <f t="array" aca="1" ref="O167" ca="1">ZKatzReduced($B167, O$69)</f>
        <v>#NAME?</v>
      </c>
      <c r="P167" s="8" t="e" cm="1">
        <f t="array" aca="1" ref="P167" ca="1">ZKatzReduced($B167, P$69)</f>
        <v>#NAME?</v>
      </c>
      <c r="Q167" s="8" t="e" cm="1">
        <f t="array" aca="1" ref="Q167" ca="1">ZKatzReduced($B167, Q$69)</f>
        <v>#NAME?</v>
      </c>
      <c r="R167" s="8" t="e" cm="1">
        <f t="array" aca="1" ref="R167" ca="1">ZKatzReduced($B167, R$69)</f>
        <v>#NAME?</v>
      </c>
    </row>
    <row r="168" spans="2:18" x14ac:dyDescent="0.45">
      <c r="B168" s="17">
        <f t="shared" si="14"/>
        <v>9.7999999999999812</v>
      </c>
      <c r="C168" s="8" t="e" cm="1">
        <f t="array" aca="1" ref="C168" ca="1">ZKatzReduced($B168, C$69)</f>
        <v>#NAME?</v>
      </c>
      <c r="D168" s="8" t="e" cm="1">
        <f t="array" aca="1" ref="D168" ca="1">ZKatzReduced($B168, D$69)</f>
        <v>#NAME?</v>
      </c>
      <c r="E168" s="8" t="e" cm="1">
        <f t="array" aca="1" ref="E168" ca="1">ZKatzReduced($B168, E$69)</f>
        <v>#NAME?</v>
      </c>
      <c r="F168" s="8" t="e" cm="1">
        <f t="array" aca="1" ref="F168" ca="1">ZKatzReduced($B168, F$69)</f>
        <v>#NAME?</v>
      </c>
      <c r="G168" s="8" t="e" cm="1">
        <f t="array" aca="1" ref="G168" ca="1">ZKatzReduced($B168, G$69)</f>
        <v>#NAME?</v>
      </c>
      <c r="H168" s="8" t="e" cm="1">
        <f t="array" aca="1" ref="H168" ca="1">ZKatzReduced($B168, H$69)</f>
        <v>#NAME?</v>
      </c>
      <c r="I168" s="8" t="e" cm="1">
        <f t="array" aca="1" ref="I168" ca="1">ZKatzReduced($B168, I$69)</f>
        <v>#NAME?</v>
      </c>
      <c r="J168" s="8" t="e" cm="1">
        <f t="array" aca="1" ref="J168" ca="1">ZKatzReduced($B168, J$69)</f>
        <v>#NAME?</v>
      </c>
      <c r="K168" s="8" t="e" cm="1">
        <f t="array" aca="1" ref="K168" ca="1">ZKatzReduced($B168, K$69)</f>
        <v>#NAME?</v>
      </c>
      <c r="L168" s="8" t="e" cm="1">
        <f t="array" aca="1" ref="L168" ca="1">ZKatzReduced($B168, L$69)</f>
        <v>#NAME?</v>
      </c>
      <c r="M168" s="8" t="e" cm="1">
        <f t="array" aca="1" ref="M168" ca="1">ZKatzReduced($B168, M$69)</f>
        <v>#NAME?</v>
      </c>
      <c r="N168" s="8" t="e" cm="1">
        <f t="array" aca="1" ref="N168" ca="1">ZKatzReduced($B168, N$69)</f>
        <v>#NAME?</v>
      </c>
      <c r="O168" s="8" t="e" cm="1">
        <f t="array" aca="1" ref="O168" ca="1">ZKatzReduced($B168, O$69)</f>
        <v>#NAME?</v>
      </c>
      <c r="P168" s="8" t="e" cm="1">
        <f t="array" aca="1" ref="P168" ca="1">ZKatzReduced($B168, P$69)</f>
        <v>#NAME?</v>
      </c>
      <c r="Q168" s="8" t="e" cm="1">
        <f t="array" aca="1" ref="Q168" ca="1">ZKatzReduced($B168, Q$69)</f>
        <v>#NAME?</v>
      </c>
      <c r="R168" s="8" t="e" cm="1">
        <f t="array" aca="1" ref="R168" ca="1">ZKatzReduced($B168, R$69)</f>
        <v>#NAME?</v>
      </c>
    </row>
    <row r="169" spans="2:18" x14ac:dyDescent="0.45">
      <c r="B169" s="17">
        <f t="shared" si="14"/>
        <v>9.8999999999999808</v>
      </c>
      <c r="C169" s="8" t="e" cm="1">
        <f t="array" aca="1" ref="C169" ca="1">ZKatzReduced($B169, C$69)</f>
        <v>#NAME?</v>
      </c>
      <c r="D169" s="8" t="e" cm="1">
        <f t="array" aca="1" ref="D169" ca="1">ZKatzReduced($B169, D$69)</f>
        <v>#NAME?</v>
      </c>
      <c r="E169" s="8" t="e" cm="1">
        <f t="array" aca="1" ref="E169" ca="1">ZKatzReduced($B169, E$69)</f>
        <v>#NAME?</v>
      </c>
      <c r="F169" s="8" t="e" cm="1">
        <f t="array" aca="1" ref="F169" ca="1">ZKatzReduced($B169, F$69)</f>
        <v>#NAME?</v>
      </c>
      <c r="G169" s="8" t="e" cm="1">
        <f t="array" aca="1" ref="G169" ca="1">ZKatzReduced($B169, G$69)</f>
        <v>#NAME?</v>
      </c>
      <c r="H169" s="8" t="e" cm="1">
        <f t="array" aca="1" ref="H169" ca="1">ZKatzReduced($B169, H$69)</f>
        <v>#NAME?</v>
      </c>
      <c r="I169" s="8" t="e" cm="1">
        <f t="array" aca="1" ref="I169" ca="1">ZKatzReduced($B169, I$69)</f>
        <v>#NAME?</v>
      </c>
      <c r="J169" s="8" t="e" cm="1">
        <f t="array" aca="1" ref="J169" ca="1">ZKatzReduced($B169, J$69)</f>
        <v>#NAME?</v>
      </c>
      <c r="K169" s="8" t="e" cm="1">
        <f t="array" aca="1" ref="K169" ca="1">ZKatzReduced($B169, K$69)</f>
        <v>#NAME?</v>
      </c>
      <c r="L169" s="8" t="e" cm="1">
        <f t="array" aca="1" ref="L169" ca="1">ZKatzReduced($B169, L$69)</f>
        <v>#NAME?</v>
      </c>
      <c r="M169" s="8" t="e" cm="1">
        <f t="array" aca="1" ref="M169" ca="1">ZKatzReduced($B169, M$69)</f>
        <v>#NAME?</v>
      </c>
      <c r="N169" s="8" t="e" cm="1">
        <f t="array" aca="1" ref="N169" ca="1">ZKatzReduced($B169, N$69)</f>
        <v>#NAME?</v>
      </c>
      <c r="O169" s="8" t="e" cm="1">
        <f t="array" aca="1" ref="O169" ca="1">ZKatzReduced($B169, O$69)</f>
        <v>#NAME?</v>
      </c>
      <c r="P169" s="8" t="e" cm="1">
        <f t="array" aca="1" ref="P169" ca="1">ZKatzReduced($B169, P$69)</f>
        <v>#NAME?</v>
      </c>
      <c r="Q169" s="8" t="e" cm="1">
        <f t="array" aca="1" ref="Q169" ca="1">ZKatzReduced($B169, Q$69)</f>
        <v>#NAME?</v>
      </c>
      <c r="R169" s="8" t="e" cm="1">
        <f t="array" aca="1" ref="R169" ca="1">ZKatzReduced($B169, R$69)</f>
        <v>#NAME?</v>
      </c>
    </row>
    <row r="170" spans="2:18" x14ac:dyDescent="0.45">
      <c r="B170" s="17">
        <f t="shared" si="14"/>
        <v>9.9999999999999805</v>
      </c>
      <c r="C170" s="8" t="e" cm="1">
        <f t="array" aca="1" ref="C170" ca="1">ZKatzReduced($B170, C$69)</f>
        <v>#NAME?</v>
      </c>
      <c r="D170" s="8" t="e" cm="1">
        <f t="array" aca="1" ref="D170" ca="1">ZKatzReduced($B170, D$69)</f>
        <v>#NAME?</v>
      </c>
      <c r="E170" s="8" t="e" cm="1">
        <f t="array" aca="1" ref="E170" ca="1">ZKatzReduced($B170, E$69)</f>
        <v>#NAME?</v>
      </c>
      <c r="F170" s="8" t="e" cm="1">
        <f t="array" aca="1" ref="F170" ca="1">ZKatzReduced($B170, F$69)</f>
        <v>#NAME?</v>
      </c>
      <c r="G170" s="8" t="e" cm="1">
        <f t="array" aca="1" ref="G170" ca="1">ZKatzReduced($B170, G$69)</f>
        <v>#NAME?</v>
      </c>
      <c r="H170" s="8" t="e" cm="1">
        <f t="array" aca="1" ref="H170" ca="1">ZKatzReduced($B170, H$69)</f>
        <v>#NAME?</v>
      </c>
      <c r="I170" s="8" t="e" cm="1">
        <f t="array" aca="1" ref="I170" ca="1">ZKatzReduced($B170, I$69)</f>
        <v>#NAME?</v>
      </c>
      <c r="J170" s="8" t="e" cm="1">
        <f t="array" aca="1" ref="J170" ca="1">ZKatzReduced($B170, J$69)</f>
        <v>#NAME?</v>
      </c>
      <c r="K170" s="8" t="e" cm="1">
        <f t="array" aca="1" ref="K170" ca="1">ZKatzReduced($B170, K$69)</f>
        <v>#NAME?</v>
      </c>
      <c r="L170" s="8" t="e" cm="1">
        <f t="array" aca="1" ref="L170" ca="1">ZKatzReduced($B170, L$69)</f>
        <v>#NAME?</v>
      </c>
      <c r="M170" s="8" t="e" cm="1">
        <f t="array" aca="1" ref="M170" ca="1">ZKatzReduced($B170, M$69)</f>
        <v>#NAME?</v>
      </c>
      <c r="N170" s="8" t="e" cm="1">
        <f t="array" aca="1" ref="N170" ca="1">ZKatzReduced($B170, N$69)</f>
        <v>#NAME?</v>
      </c>
      <c r="O170" s="8" t="e" cm="1">
        <f t="array" aca="1" ref="O170" ca="1">ZKatzReduced($B170, O$69)</f>
        <v>#NAME?</v>
      </c>
      <c r="P170" s="8" t="e" cm="1">
        <f t="array" aca="1" ref="P170" ca="1">ZKatzReduced($B170, P$69)</f>
        <v>#NAME?</v>
      </c>
      <c r="Q170" s="8" t="e" cm="1">
        <f t="array" aca="1" ref="Q170" ca="1">ZKatzReduced($B170, Q$69)</f>
        <v>#NAME?</v>
      </c>
      <c r="R170" s="8" t="e" cm="1">
        <f t="array" aca="1" ref="R170" ca="1">ZKatzReduced($B170, R$69)</f>
        <v>#NAME?</v>
      </c>
    </row>
    <row r="171" spans="2:18" x14ac:dyDescent="0.45">
      <c r="B171" s="17">
        <f t="shared" si="14"/>
        <v>10.09999999999998</v>
      </c>
      <c r="C171" s="8" t="e" cm="1">
        <f t="array" aca="1" ref="C171" ca="1">ZKatzReduced($B171, C$69)</f>
        <v>#NAME?</v>
      </c>
      <c r="D171" s="8" t="e" cm="1">
        <f t="array" aca="1" ref="D171" ca="1">ZKatzReduced($B171, D$69)</f>
        <v>#NAME?</v>
      </c>
      <c r="E171" s="8" t="e" cm="1">
        <f t="array" aca="1" ref="E171" ca="1">ZKatzReduced($B171, E$69)</f>
        <v>#NAME?</v>
      </c>
      <c r="F171" s="8" t="e" cm="1">
        <f t="array" aca="1" ref="F171" ca="1">ZKatzReduced($B171, F$69)</f>
        <v>#NAME?</v>
      </c>
      <c r="G171" s="8" t="e" cm="1">
        <f t="array" aca="1" ref="G171" ca="1">ZKatzReduced($B171, G$69)</f>
        <v>#NAME?</v>
      </c>
      <c r="H171" s="8" t="e" cm="1">
        <f t="array" aca="1" ref="H171" ca="1">ZKatzReduced($B171, H$69)</f>
        <v>#NAME?</v>
      </c>
      <c r="I171" s="8" t="e" cm="1">
        <f t="array" aca="1" ref="I171" ca="1">ZKatzReduced($B171, I$69)</f>
        <v>#NAME?</v>
      </c>
      <c r="J171" s="8" t="e" cm="1">
        <f t="array" aca="1" ref="J171" ca="1">ZKatzReduced($B171, J$69)</f>
        <v>#NAME?</v>
      </c>
      <c r="K171" s="8" t="e" cm="1">
        <f t="array" aca="1" ref="K171" ca="1">ZKatzReduced($B171, K$69)</f>
        <v>#NAME?</v>
      </c>
      <c r="L171" s="8" t="e" cm="1">
        <f t="array" aca="1" ref="L171" ca="1">ZKatzReduced($B171, L$69)</f>
        <v>#NAME?</v>
      </c>
      <c r="M171" s="8" t="e" cm="1">
        <f t="array" aca="1" ref="M171" ca="1">ZKatzReduced($B171, M$69)</f>
        <v>#NAME?</v>
      </c>
      <c r="N171" s="8" t="e" cm="1">
        <f t="array" aca="1" ref="N171" ca="1">ZKatzReduced($B171, N$69)</f>
        <v>#NAME?</v>
      </c>
      <c r="O171" s="8" t="e" cm="1">
        <f t="array" aca="1" ref="O171" ca="1">ZKatzReduced($B171, O$69)</f>
        <v>#NAME?</v>
      </c>
      <c r="P171" s="8" t="e" cm="1">
        <f t="array" aca="1" ref="P171" ca="1">ZKatzReduced($B171, P$69)</f>
        <v>#NAME?</v>
      </c>
      <c r="Q171" s="8" t="e" cm="1">
        <f t="array" aca="1" ref="Q171" ca="1">ZKatzReduced($B171, Q$69)</f>
        <v>#NAME?</v>
      </c>
      <c r="R171" s="8" t="e" cm="1">
        <f t="array" aca="1" ref="R171" ca="1">ZKatzReduced($B171, R$69)</f>
        <v>#NAME?</v>
      </c>
    </row>
    <row r="172" spans="2:18" x14ac:dyDescent="0.45">
      <c r="B172" s="17">
        <f t="shared" si="14"/>
        <v>10.19999999999998</v>
      </c>
      <c r="C172" s="8" t="e" cm="1">
        <f t="array" aca="1" ref="C172" ca="1">ZKatzReduced($B172, C$69)</f>
        <v>#NAME?</v>
      </c>
      <c r="D172" s="8" t="e" cm="1">
        <f t="array" aca="1" ref="D172" ca="1">ZKatzReduced($B172, D$69)</f>
        <v>#NAME?</v>
      </c>
      <c r="E172" s="8" t="e" cm="1">
        <f t="array" aca="1" ref="E172" ca="1">ZKatzReduced($B172, E$69)</f>
        <v>#NAME?</v>
      </c>
      <c r="F172" s="8" t="e" cm="1">
        <f t="array" aca="1" ref="F172" ca="1">ZKatzReduced($B172, F$69)</f>
        <v>#NAME?</v>
      </c>
      <c r="G172" s="8" t="e" cm="1">
        <f t="array" aca="1" ref="G172" ca="1">ZKatzReduced($B172, G$69)</f>
        <v>#NAME?</v>
      </c>
      <c r="H172" s="8" t="e" cm="1">
        <f t="array" aca="1" ref="H172" ca="1">ZKatzReduced($B172, H$69)</f>
        <v>#NAME?</v>
      </c>
      <c r="I172" s="8" t="e" cm="1">
        <f t="array" aca="1" ref="I172" ca="1">ZKatzReduced($B172, I$69)</f>
        <v>#NAME?</v>
      </c>
      <c r="J172" s="8" t="e" cm="1">
        <f t="array" aca="1" ref="J172" ca="1">ZKatzReduced($B172, J$69)</f>
        <v>#NAME?</v>
      </c>
      <c r="K172" s="8" t="e" cm="1">
        <f t="array" aca="1" ref="K172" ca="1">ZKatzReduced($B172, K$69)</f>
        <v>#NAME?</v>
      </c>
      <c r="L172" s="8" t="e" cm="1">
        <f t="array" aca="1" ref="L172" ca="1">ZKatzReduced($B172, L$69)</f>
        <v>#NAME?</v>
      </c>
      <c r="M172" s="8" t="e" cm="1">
        <f t="array" aca="1" ref="M172" ca="1">ZKatzReduced($B172, M$69)</f>
        <v>#NAME?</v>
      </c>
      <c r="N172" s="8" t="e" cm="1">
        <f t="array" aca="1" ref="N172" ca="1">ZKatzReduced($B172, N$69)</f>
        <v>#NAME?</v>
      </c>
      <c r="O172" s="8" t="e" cm="1">
        <f t="array" aca="1" ref="O172" ca="1">ZKatzReduced($B172, O$69)</f>
        <v>#NAME?</v>
      </c>
      <c r="P172" s="8" t="e" cm="1">
        <f t="array" aca="1" ref="P172" ca="1">ZKatzReduced($B172, P$69)</f>
        <v>#NAME?</v>
      </c>
      <c r="Q172" s="8" t="e" cm="1">
        <f t="array" aca="1" ref="Q172" ca="1">ZKatzReduced($B172, Q$69)</f>
        <v>#NAME?</v>
      </c>
      <c r="R172" s="8" t="e" cm="1">
        <f t="array" aca="1" ref="R172" ca="1">ZKatzReduced($B172, R$69)</f>
        <v>#NAME?</v>
      </c>
    </row>
    <row r="173" spans="2:18" x14ac:dyDescent="0.45">
      <c r="B173" s="17">
        <f t="shared" si="14"/>
        <v>10.299999999999979</v>
      </c>
      <c r="C173" s="8" t="e" cm="1">
        <f t="array" aca="1" ref="C173" ca="1">ZKatzReduced($B173, C$69)</f>
        <v>#NAME?</v>
      </c>
      <c r="D173" s="8" t="e" cm="1">
        <f t="array" aca="1" ref="D173" ca="1">ZKatzReduced($B173, D$69)</f>
        <v>#NAME?</v>
      </c>
      <c r="E173" s="8" t="e" cm="1">
        <f t="array" aca="1" ref="E173" ca="1">ZKatzReduced($B173, E$69)</f>
        <v>#NAME?</v>
      </c>
      <c r="F173" s="8" t="e" cm="1">
        <f t="array" aca="1" ref="F173" ca="1">ZKatzReduced($B173, F$69)</f>
        <v>#NAME?</v>
      </c>
      <c r="G173" s="8" t="e" cm="1">
        <f t="array" aca="1" ref="G173" ca="1">ZKatzReduced($B173, G$69)</f>
        <v>#NAME?</v>
      </c>
      <c r="H173" s="8" t="e" cm="1">
        <f t="array" aca="1" ref="H173" ca="1">ZKatzReduced($B173, H$69)</f>
        <v>#NAME?</v>
      </c>
      <c r="I173" s="8" t="e" cm="1">
        <f t="array" aca="1" ref="I173" ca="1">ZKatzReduced($B173, I$69)</f>
        <v>#NAME?</v>
      </c>
      <c r="J173" s="8" t="e" cm="1">
        <f t="array" aca="1" ref="J173" ca="1">ZKatzReduced($B173, J$69)</f>
        <v>#NAME?</v>
      </c>
      <c r="K173" s="8" t="e" cm="1">
        <f t="array" aca="1" ref="K173" ca="1">ZKatzReduced($B173, K$69)</f>
        <v>#NAME?</v>
      </c>
      <c r="L173" s="8" t="e" cm="1">
        <f t="array" aca="1" ref="L173" ca="1">ZKatzReduced($B173, L$69)</f>
        <v>#NAME?</v>
      </c>
      <c r="M173" s="8" t="e" cm="1">
        <f t="array" aca="1" ref="M173" ca="1">ZKatzReduced($B173, M$69)</f>
        <v>#NAME?</v>
      </c>
      <c r="N173" s="8" t="e" cm="1">
        <f t="array" aca="1" ref="N173" ca="1">ZKatzReduced($B173, N$69)</f>
        <v>#NAME?</v>
      </c>
      <c r="O173" s="8" t="e" cm="1">
        <f t="array" aca="1" ref="O173" ca="1">ZKatzReduced($B173, O$69)</f>
        <v>#NAME?</v>
      </c>
      <c r="P173" s="8" t="e" cm="1">
        <f t="array" aca="1" ref="P173" ca="1">ZKatzReduced($B173, P$69)</f>
        <v>#NAME?</v>
      </c>
      <c r="Q173" s="8" t="e" cm="1">
        <f t="array" aca="1" ref="Q173" ca="1">ZKatzReduced($B173, Q$69)</f>
        <v>#NAME?</v>
      </c>
      <c r="R173" s="8" t="e" cm="1">
        <f t="array" aca="1" ref="R173" ca="1">ZKatzReduced($B173, R$69)</f>
        <v>#NAME?</v>
      </c>
    </row>
    <row r="174" spans="2:18" x14ac:dyDescent="0.45">
      <c r="B174" s="17">
        <f t="shared" si="14"/>
        <v>10.399999999999979</v>
      </c>
      <c r="C174" s="8" t="e" cm="1">
        <f t="array" aca="1" ref="C174" ca="1">ZKatzReduced($B174, C$69)</f>
        <v>#NAME?</v>
      </c>
      <c r="D174" s="8" t="e" cm="1">
        <f t="array" aca="1" ref="D174" ca="1">ZKatzReduced($B174, D$69)</f>
        <v>#NAME?</v>
      </c>
      <c r="E174" s="8" t="e" cm="1">
        <f t="array" aca="1" ref="E174" ca="1">ZKatzReduced($B174, E$69)</f>
        <v>#NAME?</v>
      </c>
      <c r="F174" s="8" t="e" cm="1">
        <f t="array" aca="1" ref="F174" ca="1">ZKatzReduced($B174, F$69)</f>
        <v>#NAME?</v>
      </c>
      <c r="G174" s="8" t="e" cm="1">
        <f t="array" aca="1" ref="G174" ca="1">ZKatzReduced($B174, G$69)</f>
        <v>#NAME?</v>
      </c>
      <c r="H174" s="8" t="e" cm="1">
        <f t="array" aca="1" ref="H174" ca="1">ZKatzReduced($B174, H$69)</f>
        <v>#NAME?</v>
      </c>
      <c r="I174" s="8" t="e" cm="1">
        <f t="array" aca="1" ref="I174" ca="1">ZKatzReduced($B174, I$69)</f>
        <v>#NAME?</v>
      </c>
      <c r="J174" s="8" t="e" cm="1">
        <f t="array" aca="1" ref="J174" ca="1">ZKatzReduced($B174, J$69)</f>
        <v>#NAME?</v>
      </c>
      <c r="K174" s="8" t="e" cm="1">
        <f t="array" aca="1" ref="K174" ca="1">ZKatzReduced($B174, K$69)</f>
        <v>#NAME?</v>
      </c>
      <c r="L174" s="8" t="e" cm="1">
        <f t="array" aca="1" ref="L174" ca="1">ZKatzReduced($B174, L$69)</f>
        <v>#NAME?</v>
      </c>
      <c r="M174" s="8" t="e" cm="1">
        <f t="array" aca="1" ref="M174" ca="1">ZKatzReduced($B174, M$69)</f>
        <v>#NAME?</v>
      </c>
      <c r="N174" s="8" t="e" cm="1">
        <f t="array" aca="1" ref="N174" ca="1">ZKatzReduced($B174, N$69)</f>
        <v>#NAME?</v>
      </c>
      <c r="O174" s="8" t="e" cm="1">
        <f t="array" aca="1" ref="O174" ca="1">ZKatzReduced($B174, O$69)</f>
        <v>#NAME?</v>
      </c>
      <c r="P174" s="8" t="e" cm="1">
        <f t="array" aca="1" ref="P174" ca="1">ZKatzReduced($B174, P$69)</f>
        <v>#NAME?</v>
      </c>
      <c r="Q174" s="8" t="e" cm="1">
        <f t="array" aca="1" ref="Q174" ca="1">ZKatzReduced($B174, Q$69)</f>
        <v>#NAME?</v>
      </c>
      <c r="R174" s="8" t="e" cm="1">
        <f t="array" aca="1" ref="R174" ca="1">ZKatzReduced($B174, R$69)</f>
        <v>#NAME?</v>
      </c>
    </row>
    <row r="175" spans="2:18" x14ac:dyDescent="0.45">
      <c r="B175" s="17">
        <f t="shared" si="14"/>
        <v>10.499999999999979</v>
      </c>
      <c r="C175" s="8" t="e" cm="1">
        <f t="array" aca="1" ref="C175" ca="1">ZKatzReduced($B175, C$69)</f>
        <v>#NAME?</v>
      </c>
      <c r="D175" s="8" t="e" cm="1">
        <f t="array" aca="1" ref="D175" ca="1">ZKatzReduced($B175, D$69)</f>
        <v>#NAME?</v>
      </c>
      <c r="E175" s="8" t="e" cm="1">
        <f t="array" aca="1" ref="E175" ca="1">ZKatzReduced($B175, E$69)</f>
        <v>#NAME?</v>
      </c>
      <c r="F175" s="8" t="e" cm="1">
        <f t="array" aca="1" ref="F175" ca="1">ZKatzReduced($B175, F$69)</f>
        <v>#NAME?</v>
      </c>
      <c r="G175" s="8" t="e" cm="1">
        <f t="array" aca="1" ref="G175" ca="1">ZKatzReduced($B175, G$69)</f>
        <v>#NAME?</v>
      </c>
      <c r="H175" s="8" t="e" cm="1">
        <f t="array" aca="1" ref="H175" ca="1">ZKatzReduced($B175, H$69)</f>
        <v>#NAME?</v>
      </c>
      <c r="I175" s="8" t="e" cm="1">
        <f t="array" aca="1" ref="I175" ca="1">ZKatzReduced($B175, I$69)</f>
        <v>#NAME?</v>
      </c>
      <c r="J175" s="8" t="e" cm="1">
        <f t="array" aca="1" ref="J175" ca="1">ZKatzReduced($B175, J$69)</f>
        <v>#NAME?</v>
      </c>
      <c r="K175" s="8" t="e" cm="1">
        <f t="array" aca="1" ref="K175" ca="1">ZKatzReduced($B175, K$69)</f>
        <v>#NAME?</v>
      </c>
      <c r="L175" s="8" t="e" cm="1">
        <f t="array" aca="1" ref="L175" ca="1">ZKatzReduced($B175, L$69)</f>
        <v>#NAME?</v>
      </c>
      <c r="M175" s="8" t="e" cm="1">
        <f t="array" aca="1" ref="M175" ca="1">ZKatzReduced($B175, M$69)</f>
        <v>#NAME?</v>
      </c>
      <c r="N175" s="8" t="e" cm="1">
        <f t="array" aca="1" ref="N175" ca="1">ZKatzReduced($B175, N$69)</f>
        <v>#NAME?</v>
      </c>
      <c r="O175" s="8" t="e" cm="1">
        <f t="array" aca="1" ref="O175" ca="1">ZKatzReduced($B175, O$69)</f>
        <v>#NAME?</v>
      </c>
      <c r="P175" s="8" t="e" cm="1">
        <f t="array" aca="1" ref="P175" ca="1">ZKatzReduced($B175, P$69)</f>
        <v>#NAME?</v>
      </c>
      <c r="Q175" s="8" t="e" cm="1">
        <f t="array" aca="1" ref="Q175" ca="1">ZKatzReduced($B175, Q$69)</f>
        <v>#NAME?</v>
      </c>
      <c r="R175" s="8" t="e" cm="1">
        <f t="array" aca="1" ref="R175" ca="1">ZKatzReduced($B175, R$69)</f>
        <v>#NAME?</v>
      </c>
    </row>
    <row r="176" spans="2:18" x14ac:dyDescent="0.45">
      <c r="B176" s="17">
        <f t="shared" si="14"/>
        <v>10.599999999999978</v>
      </c>
      <c r="C176" s="8" t="e" cm="1">
        <f t="array" aca="1" ref="C176" ca="1">ZKatzReduced($B176, C$69)</f>
        <v>#NAME?</v>
      </c>
      <c r="D176" s="8" t="e" cm="1">
        <f t="array" aca="1" ref="D176" ca="1">ZKatzReduced($B176, D$69)</f>
        <v>#NAME?</v>
      </c>
      <c r="E176" s="8" t="e" cm="1">
        <f t="array" aca="1" ref="E176" ca="1">ZKatzReduced($B176, E$69)</f>
        <v>#NAME?</v>
      </c>
      <c r="F176" s="8" t="e" cm="1">
        <f t="array" aca="1" ref="F176" ca="1">ZKatzReduced($B176, F$69)</f>
        <v>#NAME?</v>
      </c>
      <c r="G176" s="8" t="e" cm="1">
        <f t="array" aca="1" ref="G176" ca="1">ZKatzReduced($B176, G$69)</f>
        <v>#NAME?</v>
      </c>
      <c r="H176" s="8" t="e" cm="1">
        <f t="array" aca="1" ref="H176" ca="1">ZKatzReduced($B176, H$69)</f>
        <v>#NAME?</v>
      </c>
      <c r="I176" s="8" t="e" cm="1">
        <f t="array" aca="1" ref="I176" ca="1">ZKatzReduced($B176, I$69)</f>
        <v>#NAME?</v>
      </c>
      <c r="J176" s="8" t="e" cm="1">
        <f t="array" aca="1" ref="J176" ca="1">ZKatzReduced($B176, J$69)</f>
        <v>#NAME?</v>
      </c>
      <c r="K176" s="8" t="e" cm="1">
        <f t="array" aca="1" ref="K176" ca="1">ZKatzReduced($B176, K$69)</f>
        <v>#NAME?</v>
      </c>
      <c r="L176" s="8" t="e" cm="1">
        <f t="array" aca="1" ref="L176" ca="1">ZKatzReduced($B176, L$69)</f>
        <v>#NAME?</v>
      </c>
      <c r="M176" s="8" t="e" cm="1">
        <f t="array" aca="1" ref="M176" ca="1">ZKatzReduced($B176, M$69)</f>
        <v>#NAME?</v>
      </c>
      <c r="N176" s="8" t="e" cm="1">
        <f t="array" aca="1" ref="N176" ca="1">ZKatzReduced($B176, N$69)</f>
        <v>#NAME?</v>
      </c>
      <c r="O176" s="8" t="e" cm="1">
        <f t="array" aca="1" ref="O176" ca="1">ZKatzReduced($B176, O$69)</f>
        <v>#NAME?</v>
      </c>
      <c r="P176" s="8" t="e" cm="1">
        <f t="array" aca="1" ref="P176" ca="1">ZKatzReduced($B176, P$69)</f>
        <v>#NAME?</v>
      </c>
      <c r="Q176" s="8" t="e" cm="1">
        <f t="array" aca="1" ref="Q176" ca="1">ZKatzReduced($B176, Q$69)</f>
        <v>#NAME?</v>
      </c>
      <c r="R176" s="8" t="e" cm="1">
        <f t="array" aca="1" ref="R176" ca="1">ZKatzReduced($B176, R$69)</f>
        <v>#NAME?</v>
      </c>
    </row>
    <row r="177" spans="2:18" x14ac:dyDescent="0.45">
      <c r="B177" s="17">
        <f t="shared" si="14"/>
        <v>10.699999999999978</v>
      </c>
      <c r="C177" s="8" t="e" cm="1">
        <f t="array" aca="1" ref="C177" ca="1">ZKatzReduced($B177, C$69)</f>
        <v>#NAME?</v>
      </c>
      <c r="D177" s="8" t="e" cm="1">
        <f t="array" aca="1" ref="D177" ca="1">ZKatzReduced($B177, D$69)</f>
        <v>#NAME?</v>
      </c>
      <c r="E177" s="8" t="e" cm="1">
        <f t="array" aca="1" ref="E177" ca="1">ZKatzReduced($B177, E$69)</f>
        <v>#NAME?</v>
      </c>
      <c r="F177" s="8" t="e" cm="1">
        <f t="array" aca="1" ref="F177" ca="1">ZKatzReduced($B177, F$69)</f>
        <v>#NAME?</v>
      </c>
      <c r="G177" s="8" t="e" cm="1">
        <f t="array" aca="1" ref="G177" ca="1">ZKatzReduced($B177, G$69)</f>
        <v>#NAME?</v>
      </c>
      <c r="H177" s="8" t="e" cm="1">
        <f t="array" aca="1" ref="H177" ca="1">ZKatzReduced($B177, H$69)</f>
        <v>#NAME?</v>
      </c>
      <c r="I177" s="8" t="e" cm="1">
        <f t="array" aca="1" ref="I177" ca="1">ZKatzReduced($B177, I$69)</f>
        <v>#NAME?</v>
      </c>
      <c r="J177" s="8" t="e" cm="1">
        <f t="array" aca="1" ref="J177" ca="1">ZKatzReduced($B177, J$69)</f>
        <v>#NAME?</v>
      </c>
      <c r="K177" s="8" t="e" cm="1">
        <f t="array" aca="1" ref="K177" ca="1">ZKatzReduced($B177, K$69)</f>
        <v>#NAME?</v>
      </c>
      <c r="L177" s="8" t="e" cm="1">
        <f t="array" aca="1" ref="L177" ca="1">ZKatzReduced($B177, L$69)</f>
        <v>#NAME?</v>
      </c>
      <c r="M177" s="8" t="e" cm="1">
        <f t="array" aca="1" ref="M177" ca="1">ZKatzReduced($B177, M$69)</f>
        <v>#NAME?</v>
      </c>
      <c r="N177" s="8" t="e" cm="1">
        <f t="array" aca="1" ref="N177" ca="1">ZKatzReduced($B177, N$69)</f>
        <v>#NAME?</v>
      </c>
      <c r="O177" s="8" t="e" cm="1">
        <f t="array" aca="1" ref="O177" ca="1">ZKatzReduced($B177, O$69)</f>
        <v>#NAME?</v>
      </c>
      <c r="P177" s="8" t="e" cm="1">
        <f t="array" aca="1" ref="P177" ca="1">ZKatzReduced($B177, P$69)</f>
        <v>#NAME?</v>
      </c>
      <c r="Q177" s="8" t="e" cm="1">
        <f t="array" aca="1" ref="Q177" ca="1">ZKatzReduced($B177, Q$69)</f>
        <v>#NAME?</v>
      </c>
      <c r="R177" s="8" t="e" cm="1">
        <f t="array" aca="1" ref="R177" ca="1">ZKatzReduced($B177, R$69)</f>
        <v>#NAME?</v>
      </c>
    </row>
    <row r="178" spans="2:18" x14ac:dyDescent="0.45">
      <c r="B178" s="17">
        <f t="shared" si="14"/>
        <v>10.799999999999978</v>
      </c>
      <c r="C178" s="8" t="e" cm="1">
        <f t="array" aca="1" ref="C178" ca="1">ZKatzReduced($B178, C$69)</f>
        <v>#NAME?</v>
      </c>
      <c r="D178" s="8" t="e" cm="1">
        <f t="array" aca="1" ref="D178" ca="1">ZKatzReduced($B178, D$69)</f>
        <v>#NAME?</v>
      </c>
      <c r="E178" s="8" t="e" cm="1">
        <f t="array" aca="1" ref="E178" ca="1">ZKatzReduced($B178, E$69)</f>
        <v>#NAME?</v>
      </c>
      <c r="F178" s="8" t="e" cm="1">
        <f t="array" aca="1" ref="F178" ca="1">ZKatzReduced($B178, F$69)</f>
        <v>#NAME?</v>
      </c>
      <c r="G178" s="8" t="e" cm="1">
        <f t="array" aca="1" ref="G178" ca="1">ZKatzReduced($B178, G$69)</f>
        <v>#NAME?</v>
      </c>
      <c r="H178" s="8" t="e" cm="1">
        <f t="array" aca="1" ref="H178" ca="1">ZKatzReduced($B178, H$69)</f>
        <v>#NAME?</v>
      </c>
      <c r="I178" s="8" t="e" cm="1">
        <f t="array" aca="1" ref="I178" ca="1">ZKatzReduced($B178, I$69)</f>
        <v>#NAME?</v>
      </c>
      <c r="J178" s="8" t="e" cm="1">
        <f t="array" aca="1" ref="J178" ca="1">ZKatzReduced($B178, J$69)</f>
        <v>#NAME?</v>
      </c>
      <c r="K178" s="8" t="e" cm="1">
        <f t="array" aca="1" ref="K178" ca="1">ZKatzReduced($B178, K$69)</f>
        <v>#NAME?</v>
      </c>
      <c r="L178" s="8" t="e" cm="1">
        <f t="array" aca="1" ref="L178" ca="1">ZKatzReduced($B178, L$69)</f>
        <v>#NAME?</v>
      </c>
      <c r="M178" s="8" t="e" cm="1">
        <f t="array" aca="1" ref="M178" ca="1">ZKatzReduced($B178, M$69)</f>
        <v>#NAME?</v>
      </c>
      <c r="N178" s="8" t="e" cm="1">
        <f t="array" aca="1" ref="N178" ca="1">ZKatzReduced($B178, N$69)</f>
        <v>#NAME?</v>
      </c>
      <c r="O178" s="8" t="e" cm="1">
        <f t="array" aca="1" ref="O178" ca="1">ZKatzReduced($B178, O$69)</f>
        <v>#NAME?</v>
      </c>
      <c r="P178" s="8" t="e" cm="1">
        <f t="array" aca="1" ref="P178" ca="1">ZKatzReduced($B178, P$69)</f>
        <v>#NAME?</v>
      </c>
      <c r="Q178" s="8" t="e" cm="1">
        <f t="array" aca="1" ref="Q178" ca="1">ZKatzReduced($B178, Q$69)</f>
        <v>#NAME?</v>
      </c>
      <c r="R178" s="8" t="e" cm="1">
        <f t="array" aca="1" ref="R178" ca="1">ZKatzReduced($B178, R$69)</f>
        <v>#NAME?</v>
      </c>
    </row>
    <row r="179" spans="2:18" x14ac:dyDescent="0.45">
      <c r="B179" s="17">
        <f t="shared" si="14"/>
        <v>10.899999999999977</v>
      </c>
      <c r="C179" s="8" t="e" cm="1">
        <f t="array" aca="1" ref="C179" ca="1">ZKatzReduced($B179, C$69)</f>
        <v>#NAME?</v>
      </c>
      <c r="D179" s="8" t="e" cm="1">
        <f t="array" aca="1" ref="D179" ca="1">ZKatzReduced($B179, D$69)</f>
        <v>#NAME?</v>
      </c>
      <c r="E179" s="8" t="e" cm="1">
        <f t="array" aca="1" ref="E179" ca="1">ZKatzReduced($B179, E$69)</f>
        <v>#NAME?</v>
      </c>
      <c r="F179" s="8" t="e" cm="1">
        <f t="array" aca="1" ref="F179" ca="1">ZKatzReduced($B179, F$69)</f>
        <v>#NAME?</v>
      </c>
      <c r="G179" s="8" t="e" cm="1">
        <f t="array" aca="1" ref="G179" ca="1">ZKatzReduced($B179, G$69)</f>
        <v>#NAME?</v>
      </c>
      <c r="H179" s="8" t="e" cm="1">
        <f t="array" aca="1" ref="H179" ca="1">ZKatzReduced($B179, H$69)</f>
        <v>#NAME?</v>
      </c>
      <c r="I179" s="8" t="e" cm="1">
        <f t="array" aca="1" ref="I179" ca="1">ZKatzReduced($B179, I$69)</f>
        <v>#NAME?</v>
      </c>
      <c r="J179" s="8" t="e" cm="1">
        <f t="array" aca="1" ref="J179" ca="1">ZKatzReduced($B179, J$69)</f>
        <v>#NAME?</v>
      </c>
      <c r="K179" s="8" t="e" cm="1">
        <f t="array" aca="1" ref="K179" ca="1">ZKatzReduced($B179, K$69)</f>
        <v>#NAME?</v>
      </c>
      <c r="L179" s="8" t="e" cm="1">
        <f t="array" aca="1" ref="L179" ca="1">ZKatzReduced($B179, L$69)</f>
        <v>#NAME?</v>
      </c>
      <c r="M179" s="8" t="e" cm="1">
        <f t="array" aca="1" ref="M179" ca="1">ZKatzReduced($B179, M$69)</f>
        <v>#NAME?</v>
      </c>
      <c r="N179" s="8" t="e" cm="1">
        <f t="array" aca="1" ref="N179" ca="1">ZKatzReduced($B179, N$69)</f>
        <v>#NAME?</v>
      </c>
      <c r="O179" s="8" t="e" cm="1">
        <f t="array" aca="1" ref="O179" ca="1">ZKatzReduced($B179, O$69)</f>
        <v>#NAME?</v>
      </c>
      <c r="P179" s="8" t="e" cm="1">
        <f t="array" aca="1" ref="P179" ca="1">ZKatzReduced($B179, P$69)</f>
        <v>#NAME?</v>
      </c>
      <c r="Q179" s="8" t="e" cm="1">
        <f t="array" aca="1" ref="Q179" ca="1">ZKatzReduced($B179, Q$69)</f>
        <v>#NAME?</v>
      </c>
      <c r="R179" s="8" t="e" cm="1">
        <f t="array" aca="1" ref="R179" ca="1">ZKatzReduced($B179, R$69)</f>
        <v>#NAME?</v>
      </c>
    </row>
    <row r="180" spans="2:18" x14ac:dyDescent="0.45">
      <c r="B180" s="17">
        <f t="shared" si="14"/>
        <v>10.999999999999977</v>
      </c>
      <c r="C180" s="8" t="e" cm="1">
        <f t="array" aca="1" ref="C180" ca="1">ZKatzReduced($B180, C$69)</f>
        <v>#NAME?</v>
      </c>
      <c r="D180" s="8" t="e" cm="1">
        <f t="array" aca="1" ref="D180" ca="1">ZKatzReduced($B180, D$69)</f>
        <v>#NAME?</v>
      </c>
      <c r="E180" s="8" t="e" cm="1">
        <f t="array" aca="1" ref="E180" ca="1">ZKatzReduced($B180, E$69)</f>
        <v>#NAME?</v>
      </c>
      <c r="F180" s="8" t="e" cm="1">
        <f t="array" aca="1" ref="F180" ca="1">ZKatzReduced($B180, F$69)</f>
        <v>#NAME?</v>
      </c>
      <c r="G180" s="8" t="e" cm="1">
        <f t="array" aca="1" ref="G180" ca="1">ZKatzReduced($B180, G$69)</f>
        <v>#NAME?</v>
      </c>
      <c r="H180" s="8" t="e" cm="1">
        <f t="array" aca="1" ref="H180" ca="1">ZKatzReduced($B180, H$69)</f>
        <v>#NAME?</v>
      </c>
      <c r="I180" s="8" t="e" cm="1">
        <f t="array" aca="1" ref="I180" ca="1">ZKatzReduced($B180, I$69)</f>
        <v>#NAME?</v>
      </c>
      <c r="J180" s="8" t="e" cm="1">
        <f t="array" aca="1" ref="J180" ca="1">ZKatzReduced($B180, J$69)</f>
        <v>#NAME?</v>
      </c>
      <c r="K180" s="8" t="e" cm="1">
        <f t="array" aca="1" ref="K180" ca="1">ZKatzReduced($B180, K$69)</f>
        <v>#NAME?</v>
      </c>
      <c r="L180" s="8" t="e" cm="1">
        <f t="array" aca="1" ref="L180" ca="1">ZKatzReduced($B180, L$69)</f>
        <v>#NAME?</v>
      </c>
      <c r="M180" s="8" t="e" cm="1">
        <f t="array" aca="1" ref="M180" ca="1">ZKatzReduced($B180, M$69)</f>
        <v>#NAME?</v>
      </c>
      <c r="N180" s="8" t="e" cm="1">
        <f t="array" aca="1" ref="N180" ca="1">ZKatzReduced($B180, N$69)</f>
        <v>#NAME?</v>
      </c>
      <c r="O180" s="8" t="e" cm="1">
        <f t="array" aca="1" ref="O180" ca="1">ZKatzReduced($B180, O$69)</f>
        <v>#NAME?</v>
      </c>
      <c r="P180" s="8" t="e" cm="1">
        <f t="array" aca="1" ref="P180" ca="1">ZKatzReduced($B180, P$69)</f>
        <v>#NAME?</v>
      </c>
      <c r="Q180" s="8" t="e" cm="1">
        <f t="array" aca="1" ref="Q180" ca="1">ZKatzReduced($B180, Q$69)</f>
        <v>#NAME?</v>
      </c>
      <c r="R180" s="8" t="e" cm="1">
        <f t="array" aca="1" ref="R180" ca="1">ZKatzReduced($B180, R$69)</f>
        <v>#NAME?</v>
      </c>
    </row>
    <row r="181" spans="2:18" x14ac:dyDescent="0.45">
      <c r="B181" s="17">
        <f t="shared" si="14"/>
        <v>11.099999999999977</v>
      </c>
      <c r="C181" s="8" t="e" cm="1">
        <f t="array" aca="1" ref="C181" ca="1">ZKatzReduced($B181, C$69)</f>
        <v>#NAME?</v>
      </c>
      <c r="D181" s="8" t="e" cm="1">
        <f t="array" aca="1" ref="D181" ca="1">ZKatzReduced($B181, D$69)</f>
        <v>#NAME?</v>
      </c>
      <c r="E181" s="8" t="e" cm="1">
        <f t="array" aca="1" ref="E181" ca="1">ZKatzReduced($B181, E$69)</f>
        <v>#NAME?</v>
      </c>
      <c r="F181" s="8" t="e" cm="1">
        <f t="array" aca="1" ref="F181" ca="1">ZKatzReduced($B181, F$69)</f>
        <v>#NAME?</v>
      </c>
      <c r="G181" s="8" t="e" cm="1">
        <f t="array" aca="1" ref="G181" ca="1">ZKatzReduced($B181, G$69)</f>
        <v>#NAME?</v>
      </c>
      <c r="H181" s="8" t="e" cm="1">
        <f t="array" aca="1" ref="H181" ca="1">ZKatzReduced($B181, H$69)</f>
        <v>#NAME?</v>
      </c>
      <c r="I181" s="8" t="e" cm="1">
        <f t="array" aca="1" ref="I181" ca="1">ZKatzReduced($B181, I$69)</f>
        <v>#NAME?</v>
      </c>
      <c r="J181" s="8" t="e" cm="1">
        <f t="array" aca="1" ref="J181" ca="1">ZKatzReduced($B181, J$69)</f>
        <v>#NAME?</v>
      </c>
      <c r="K181" s="8" t="e" cm="1">
        <f t="array" aca="1" ref="K181" ca="1">ZKatzReduced($B181, K$69)</f>
        <v>#NAME?</v>
      </c>
      <c r="L181" s="8" t="e" cm="1">
        <f t="array" aca="1" ref="L181" ca="1">ZKatzReduced($B181, L$69)</f>
        <v>#NAME?</v>
      </c>
      <c r="M181" s="8" t="e" cm="1">
        <f t="array" aca="1" ref="M181" ca="1">ZKatzReduced($B181, M$69)</f>
        <v>#NAME?</v>
      </c>
      <c r="N181" s="8" t="e" cm="1">
        <f t="array" aca="1" ref="N181" ca="1">ZKatzReduced($B181, N$69)</f>
        <v>#NAME?</v>
      </c>
      <c r="O181" s="8" t="e" cm="1">
        <f t="array" aca="1" ref="O181" ca="1">ZKatzReduced($B181, O$69)</f>
        <v>#NAME?</v>
      </c>
      <c r="P181" s="8" t="e" cm="1">
        <f t="array" aca="1" ref="P181" ca="1">ZKatzReduced($B181, P$69)</f>
        <v>#NAME?</v>
      </c>
      <c r="Q181" s="8" t="e" cm="1">
        <f t="array" aca="1" ref="Q181" ca="1">ZKatzReduced($B181, Q$69)</f>
        <v>#NAME?</v>
      </c>
      <c r="R181" s="8" t="e" cm="1">
        <f t="array" aca="1" ref="R181" ca="1">ZKatzReduced($B181, R$69)</f>
        <v>#NAME?</v>
      </c>
    </row>
    <row r="182" spans="2:18" x14ac:dyDescent="0.45">
      <c r="B182" s="17">
        <f t="shared" si="14"/>
        <v>11.199999999999976</v>
      </c>
      <c r="C182" s="8" t="e" cm="1">
        <f t="array" aca="1" ref="C182" ca="1">ZKatzReduced($B182, C$69)</f>
        <v>#NAME?</v>
      </c>
      <c r="D182" s="8" t="e" cm="1">
        <f t="array" aca="1" ref="D182" ca="1">ZKatzReduced($B182, D$69)</f>
        <v>#NAME?</v>
      </c>
      <c r="E182" s="8" t="e" cm="1">
        <f t="array" aca="1" ref="E182" ca="1">ZKatzReduced($B182, E$69)</f>
        <v>#NAME?</v>
      </c>
      <c r="F182" s="8" t="e" cm="1">
        <f t="array" aca="1" ref="F182" ca="1">ZKatzReduced($B182, F$69)</f>
        <v>#NAME?</v>
      </c>
      <c r="G182" s="8" t="e" cm="1">
        <f t="array" aca="1" ref="G182" ca="1">ZKatzReduced($B182, G$69)</f>
        <v>#NAME?</v>
      </c>
      <c r="H182" s="8" t="e" cm="1">
        <f t="array" aca="1" ref="H182" ca="1">ZKatzReduced($B182, H$69)</f>
        <v>#NAME?</v>
      </c>
      <c r="I182" s="8" t="e" cm="1">
        <f t="array" aca="1" ref="I182" ca="1">ZKatzReduced($B182, I$69)</f>
        <v>#NAME?</v>
      </c>
      <c r="J182" s="8" t="e" cm="1">
        <f t="array" aca="1" ref="J182" ca="1">ZKatzReduced($B182, J$69)</f>
        <v>#NAME?</v>
      </c>
      <c r="K182" s="8" t="e" cm="1">
        <f t="array" aca="1" ref="K182" ca="1">ZKatzReduced($B182, K$69)</f>
        <v>#NAME?</v>
      </c>
      <c r="L182" s="8" t="e" cm="1">
        <f t="array" aca="1" ref="L182" ca="1">ZKatzReduced($B182, L$69)</f>
        <v>#NAME?</v>
      </c>
      <c r="M182" s="8" t="e" cm="1">
        <f t="array" aca="1" ref="M182" ca="1">ZKatzReduced($B182, M$69)</f>
        <v>#NAME?</v>
      </c>
      <c r="N182" s="8" t="e" cm="1">
        <f t="array" aca="1" ref="N182" ca="1">ZKatzReduced($B182, N$69)</f>
        <v>#NAME?</v>
      </c>
      <c r="O182" s="8" t="e" cm="1">
        <f t="array" aca="1" ref="O182" ca="1">ZKatzReduced($B182, O$69)</f>
        <v>#NAME?</v>
      </c>
      <c r="P182" s="8" t="e" cm="1">
        <f t="array" aca="1" ref="P182" ca="1">ZKatzReduced($B182, P$69)</f>
        <v>#NAME?</v>
      </c>
      <c r="Q182" s="8" t="e" cm="1">
        <f t="array" aca="1" ref="Q182" ca="1">ZKatzReduced($B182, Q$69)</f>
        <v>#NAME?</v>
      </c>
      <c r="R182" s="8" t="e" cm="1">
        <f t="array" aca="1" ref="R182" ca="1">ZKatzReduced($B182, R$69)</f>
        <v>#NAME?</v>
      </c>
    </row>
    <row r="183" spans="2:18" x14ac:dyDescent="0.45">
      <c r="B183" s="17">
        <f t="shared" si="14"/>
        <v>11.299999999999976</v>
      </c>
      <c r="C183" s="8" t="e" cm="1">
        <f t="array" aca="1" ref="C183" ca="1">ZKatzReduced($B183, C$69)</f>
        <v>#NAME?</v>
      </c>
      <c r="D183" s="8" t="e" cm="1">
        <f t="array" aca="1" ref="D183" ca="1">ZKatzReduced($B183, D$69)</f>
        <v>#NAME?</v>
      </c>
      <c r="E183" s="8" t="e" cm="1">
        <f t="array" aca="1" ref="E183" ca="1">ZKatzReduced($B183, E$69)</f>
        <v>#NAME?</v>
      </c>
      <c r="F183" s="8" t="e" cm="1">
        <f t="array" aca="1" ref="F183" ca="1">ZKatzReduced($B183, F$69)</f>
        <v>#NAME?</v>
      </c>
      <c r="G183" s="8" t="e" cm="1">
        <f t="array" aca="1" ref="G183" ca="1">ZKatzReduced($B183, G$69)</f>
        <v>#NAME?</v>
      </c>
      <c r="H183" s="8" t="e" cm="1">
        <f t="array" aca="1" ref="H183" ca="1">ZKatzReduced($B183, H$69)</f>
        <v>#NAME?</v>
      </c>
      <c r="I183" s="8" t="e" cm="1">
        <f t="array" aca="1" ref="I183" ca="1">ZKatzReduced($B183, I$69)</f>
        <v>#NAME?</v>
      </c>
      <c r="J183" s="8" t="e" cm="1">
        <f t="array" aca="1" ref="J183" ca="1">ZKatzReduced($B183, J$69)</f>
        <v>#NAME?</v>
      </c>
      <c r="K183" s="8" t="e" cm="1">
        <f t="array" aca="1" ref="K183" ca="1">ZKatzReduced($B183, K$69)</f>
        <v>#NAME?</v>
      </c>
      <c r="L183" s="8" t="e" cm="1">
        <f t="array" aca="1" ref="L183" ca="1">ZKatzReduced($B183, L$69)</f>
        <v>#NAME?</v>
      </c>
      <c r="M183" s="8" t="e" cm="1">
        <f t="array" aca="1" ref="M183" ca="1">ZKatzReduced($B183, M$69)</f>
        <v>#NAME?</v>
      </c>
      <c r="N183" s="8" t="e" cm="1">
        <f t="array" aca="1" ref="N183" ca="1">ZKatzReduced($B183, N$69)</f>
        <v>#NAME?</v>
      </c>
      <c r="O183" s="8" t="e" cm="1">
        <f t="array" aca="1" ref="O183" ca="1">ZKatzReduced($B183, O$69)</f>
        <v>#NAME?</v>
      </c>
      <c r="P183" s="8" t="e" cm="1">
        <f t="array" aca="1" ref="P183" ca="1">ZKatzReduced($B183, P$69)</f>
        <v>#NAME?</v>
      </c>
      <c r="Q183" s="8" t="e" cm="1">
        <f t="array" aca="1" ref="Q183" ca="1">ZKatzReduced($B183, Q$69)</f>
        <v>#NAME?</v>
      </c>
      <c r="R183" s="8" t="e" cm="1">
        <f t="array" aca="1" ref="R183" ca="1">ZKatzReduced($B183, R$69)</f>
        <v>#NAME?</v>
      </c>
    </row>
    <row r="184" spans="2:18" x14ac:dyDescent="0.45">
      <c r="B184" s="17">
        <f t="shared" si="14"/>
        <v>11.399999999999975</v>
      </c>
      <c r="C184" s="8" t="e" cm="1">
        <f t="array" aca="1" ref="C184" ca="1">ZKatzReduced($B184, C$69)</f>
        <v>#NAME?</v>
      </c>
      <c r="D184" s="8" t="e" cm="1">
        <f t="array" aca="1" ref="D184" ca="1">ZKatzReduced($B184, D$69)</f>
        <v>#NAME?</v>
      </c>
      <c r="E184" s="8" t="e" cm="1">
        <f t="array" aca="1" ref="E184" ca="1">ZKatzReduced($B184, E$69)</f>
        <v>#NAME?</v>
      </c>
      <c r="F184" s="8" t="e" cm="1">
        <f t="array" aca="1" ref="F184" ca="1">ZKatzReduced($B184, F$69)</f>
        <v>#NAME?</v>
      </c>
      <c r="G184" s="8" t="e" cm="1">
        <f t="array" aca="1" ref="G184" ca="1">ZKatzReduced($B184, G$69)</f>
        <v>#NAME?</v>
      </c>
      <c r="H184" s="8" t="e" cm="1">
        <f t="array" aca="1" ref="H184" ca="1">ZKatzReduced($B184, H$69)</f>
        <v>#NAME?</v>
      </c>
      <c r="I184" s="8" t="e" cm="1">
        <f t="array" aca="1" ref="I184" ca="1">ZKatzReduced($B184, I$69)</f>
        <v>#NAME?</v>
      </c>
      <c r="J184" s="8" t="e" cm="1">
        <f t="array" aca="1" ref="J184" ca="1">ZKatzReduced($B184, J$69)</f>
        <v>#NAME?</v>
      </c>
      <c r="K184" s="8" t="e" cm="1">
        <f t="array" aca="1" ref="K184" ca="1">ZKatzReduced($B184, K$69)</f>
        <v>#NAME?</v>
      </c>
      <c r="L184" s="8" t="e" cm="1">
        <f t="array" aca="1" ref="L184" ca="1">ZKatzReduced($B184, L$69)</f>
        <v>#NAME?</v>
      </c>
      <c r="M184" s="8" t="e" cm="1">
        <f t="array" aca="1" ref="M184" ca="1">ZKatzReduced($B184, M$69)</f>
        <v>#NAME?</v>
      </c>
      <c r="N184" s="8" t="e" cm="1">
        <f t="array" aca="1" ref="N184" ca="1">ZKatzReduced($B184, N$69)</f>
        <v>#NAME?</v>
      </c>
      <c r="O184" s="8" t="e" cm="1">
        <f t="array" aca="1" ref="O184" ca="1">ZKatzReduced($B184, O$69)</f>
        <v>#NAME?</v>
      </c>
      <c r="P184" s="8" t="e" cm="1">
        <f t="array" aca="1" ref="P184" ca="1">ZKatzReduced($B184, P$69)</f>
        <v>#NAME?</v>
      </c>
      <c r="Q184" s="8" t="e" cm="1">
        <f t="array" aca="1" ref="Q184" ca="1">ZKatzReduced($B184, Q$69)</f>
        <v>#NAME?</v>
      </c>
      <c r="R184" s="8" t="e" cm="1">
        <f t="array" aca="1" ref="R184" ca="1">ZKatzReduced($B184, R$69)</f>
        <v>#NAME?</v>
      </c>
    </row>
    <row r="185" spans="2:18" x14ac:dyDescent="0.45">
      <c r="B185" s="17">
        <f t="shared" si="14"/>
        <v>11.499999999999975</v>
      </c>
      <c r="C185" s="8" t="e" cm="1">
        <f t="array" aca="1" ref="C185" ca="1">ZKatzReduced($B185, C$69)</f>
        <v>#NAME?</v>
      </c>
      <c r="D185" s="8" t="e" cm="1">
        <f t="array" aca="1" ref="D185" ca="1">ZKatzReduced($B185, D$69)</f>
        <v>#NAME?</v>
      </c>
      <c r="E185" s="8" t="e" cm="1">
        <f t="array" aca="1" ref="E185" ca="1">ZKatzReduced($B185, E$69)</f>
        <v>#NAME?</v>
      </c>
      <c r="F185" s="8" t="e" cm="1">
        <f t="array" aca="1" ref="F185" ca="1">ZKatzReduced($B185, F$69)</f>
        <v>#NAME?</v>
      </c>
      <c r="G185" s="8" t="e" cm="1">
        <f t="array" aca="1" ref="G185" ca="1">ZKatzReduced($B185, G$69)</f>
        <v>#NAME?</v>
      </c>
      <c r="H185" s="8" t="e" cm="1">
        <f t="array" aca="1" ref="H185" ca="1">ZKatzReduced($B185, H$69)</f>
        <v>#NAME?</v>
      </c>
      <c r="I185" s="8" t="e" cm="1">
        <f t="array" aca="1" ref="I185" ca="1">ZKatzReduced($B185, I$69)</f>
        <v>#NAME?</v>
      </c>
      <c r="J185" s="8" t="e" cm="1">
        <f t="array" aca="1" ref="J185" ca="1">ZKatzReduced($B185, J$69)</f>
        <v>#NAME?</v>
      </c>
      <c r="K185" s="8" t="e" cm="1">
        <f t="array" aca="1" ref="K185" ca="1">ZKatzReduced($B185, K$69)</f>
        <v>#NAME?</v>
      </c>
      <c r="L185" s="8" t="e" cm="1">
        <f t="array" aca="1" ref="L185" ca="1">ZKatzReduced($B185, L$69)</f>
        <v>#NAME?</v>
      </c>
      <c r="M185" s="8" t="e" cm="1">
        <f t="array" aca="1" ref="M185" ca="1">ZKatzReduced($B185, M$69)</f>
        <v>#NAME?</v>
      </c>
      <c r="N185" s="8" t="e" cm="1">
        <f t="array" aca="1" ref="N185" ca="1">ZKatzReduced($B185, N$69)</f>
        <v>#NAME?</v>
      </c>
      <c r="O185" s="8" t="e" cm="1">
        <f t="array" aca="1" ref="O185" ca="1">ZKatzReduced($B185, O$69)</f>
        <v>#NAME?</v>
      </c>
      <c r="P185" s="8" t="e" cm="1">
        <f t="array" aca="1" ref="P185" ca="1">ZKatzReduced($B185, P$69)</f>
        <v>#NAME?</v>
      </c>
      <c r="Q185" s="8" t="e" cm="1">
        <f t="array" aca="1" ref="Q185" ca="1">ZKatzReduced($B185, Q$69)</f>
        <v>#NAME?</v>
      </c>
      <c r="R185" s="8" t="e" cm="1">
        <f t="array" aca="1" ref="R185" ca="1">ZKatzReduced($B185, R$69)</f>
        <v>#NAME?</v>
      </c>
    </row>
    <row r="186" spans="2:18" x14ac:dyDescent="0.45">
      <c r="B186" s="17">
        <f t="shared" si="14"/>
        <v>11.599999999999975</v>
      </c>
      <c r="C186" s="8" t="e" cm="1">
        <f t="array" aca="1" ref="C186" ca="1">ZKatzReduced($B186, C$69)</f>
        <v>#NAME?</v>
      </c>
      <c r="D186" s="8" t="e" cm="1">
        <f t="array" aca="1" ref="D186" ca="1">ZKatzReduced($B186, D$69)</f>
        <v>#NAME?</v>
      </c>
      <c r="E186" s="8" t="e" cm="1">
        <f t="array" aca="1" ref="E186" ca="1">ZKatzReduced($B186, E$69)</f>
        <v>#NAME?</v>
      </c>
      <c r="F186" s="8" t="e" cm="1">
        <f t="array" aca="1" ref="F186" ca="1">ZKatzReduced($B186, F$69)</f>
        <v>#NAME?</v>
      </c>
      <c r="G186" s="8" t="e" cm="1">
        <f t="array" aca="1" ref="G186" ca="1">ZKatzReduced($B186, G$69)</f>
        <v>#NAME?</v>
      </c>
      <c r="H186" s="8" t="e" cm="1">
        <f t="array" aca="1" ref="H186" ca="1">ZKatzReduced($B186, H$69)</f>
        <v>#NAME?</v>
      </c>
      <c r="I186" s="8" t="e" cm="1">
        <f t="array" aca="1" ref="I186" ca="1">ZKatzReduced($B186, I$69)</f>
        <v>#NAME?</v>
      </c>
      <c r="J186" s="8" t="e" cm="1">
        <f t="array" aca="1" ref="J186" ca="1">ZKatzReduced($B186, J$69)</f>
        <v>#NAME?</v>
      </c>
      <c r="K186" s="8" t="e" cm="1">
        <f t="array" aca="1" ref="K186" ca="1">ZKatzReduced($B186, K$69)</f>
        <v>#NAME?</v>
      </c>
      <c r="L186" s="8" t="e" cm="1">
        <f t="array" aca="1" ref="L186" ca="1">ZKatzReduced($B186, L$69)</f>
        <v>#NAME?</v>
      </c>
      <c r="M186" s="8" t="e" cm="1">
        <f t="array" aca="1" ref="M186" ca="1">ZKatzReduced($B186, M$69)</f>
        <v>#NAME?</v>
      </c>
      <c r="N186" s="8" t="e" cm="1">
        <f t="array" aca="1" ref="N186" ca="1">ZKatzReduced($B186, N$69)</f>
        <v>#NAME?</v>
      </c>
      <c r="O186" s="8" t="e" cm="1">
        <f t="array" aca="1" ref="O186" ca="1">ZKatzReduced($B186, O$69)</f>
        <v>#NAME?</v>
      </c>
      <c r="P186" s="8" t="e" cm="1">
        <f t="array" aca="1" ref="P186" ca="1">ZKatzReduced($B186, P$69)</f>
        <v>#NAME?</v>
      </c>
      <c r="Q186" s="8" t="e" cm="1">
        <f t="array" aca="1" ref="Q186" ca="1">ZKatzReduced($B186, Q$69)</f>
        <v>#NAME?</v>
      </c>
      <c r="R186" s="8" t="e" cm="1">
        <f t="array" aca="1" ref="R186" ca="1">ZKatzReduced($B186, R$69)</f>
        <v>#NAME?</v>
      </c>
    </row>
    <row r="187" spans="2:18" x14ac:dyDescent="0.45">
      <c r="B187" s="17">
        <f t="shared" si="14"/>
        <v>11.699999999999974</v>
      </c>
      <c r="C187" s="8" t="e" cm="1">
        <f t="array" aca="1" ref="C187" ca="1">ZKatzReduced($B187, C$69)</f>
        <v>#NAME?</v>
      </c>
      <c r="D187" s="8" t="e" cm="1">
        <f t="array" aca="1" ref="D187" ca="1">ZKatzReduced($B187, D$69)</f>
        <v>#NAME?</v>
      </c>
      <c r="E187" s="8" t="e" cm="1">
        <f t="array" aca="1" ref="E187" ca="1">ZKatzReduced($B187, E$69)</f>
        <v>#NAME?</v>
      </c>
      <c r="F187" s="8" t="e" cm="1">
        <f t="array" aca="1" ref="F187" ca="1">ZKatzReduced($B187, F$69)</f>
        <v>#NAME?</v>
      </c>
      <c r="G187" s="8" t="e" cm="1">
        <f t="array" aca="1" ref="G187" ca="1">ZKatzReduced($B187, G$69)</f>
        <v>#NAME?</v>
      </c>
      <c r="H187" s="8" t="e" cm="1">
        <f t="array" aca="1" ref="H187" ca="1">ZKatzReduced($B187, H$69)</f>
        <v>#NAME?</v>
      </c>
      <c r="I187" s="8" t="e" cm="1">
        <f t="array" aca="1" ref="I187" ca="1">ZKatzReduced($B187, I$69)</f>
        <v>#NAME?</v>
      </c>
      <c r="J187" s="8" t="e" cm="1">
        <f t="array" aca="1" ref="J187" ca="1">ZKatzReduced($B187, J$69)</f>
        <v>#NAME?</v>
      </c>
      <c r="K187" s="8" t="e" cm="1">
        <f t="array" aca="1" ref="K187" ca="1">ZKatzReduced($B187, K$69)</f>
        <v>#NAME?</v>
      </c>
      <c r="L187" s="8" t="e" cm="1">
        <f t="array" aca="1" ref="L187" ca="1">ZKatzReduced($B187, L$69)</f>
        <v>#NAME?</v>
      </c>
      <c r="M187" s="8" t="e" cm="1">
        <f t="array" aca="1" ref="M187" ca="1">ZKatzReduced($B187, M$69)</f>
        <v>#NAME?</v>
      </c>
      <c r="N187" s="8" t="e" cm="1">
        <f t="array" aca="1" ref="N187" ca="1">ZKatzReduced($B187, N$69)</f>
        <v>#NAME?</v>
      </c>
      <c r="O187" s="8" t="e" cm="1">
        <f t="array" aca="1" ref="O187" ca="1">ZKatzReduced($B187, O$69)</f>
        <v>#NAME?</v>
      </c>
      <c r="P187" s="8" t="e" cm="1">
        <f t="array" aca="1" ref="P187" ca="1">ZKatzReduced($B187, P$69)</f>
        <v>#NAME?</v>
      </c>
      <c r="Q187" s="8" t="e" cm="1">
        <f t="array" aca="1" ref="Q187" ca="1">ZKatzReduced($B187, Q$69)</f>
        <v>#NAME?</v>
      </c>
      <c r="R187" s="8" t="e" cm="1">
        <f t="array" aca="1" ref="R187" ca="1">ZKatzReduced($B187, R$69)</f>
        <v>#NAME?</v>
      </c>
    </row>
    <row r="188" spans="2:18" x14ac:dyDescent="0.45">
      <c r="B188" s="17">
        <f t="shared" si="14"/>
        <v>11.799999999999974</v>
      </c>
      <c r="C188" s="8" t="e" cm="1">
        <f t="array" aca="1" ref="C188" ca="1">ZKatzReduced($B188, C$69)</f>
        <v>#NAME?</v>
      </c>
      <c r="D188" s="8" t="e" cm="1">
        <f t="array" aca="1" ref="D188" ca="1">ZKatzReduced($B188, D$69)</f>
        <v>#NAME?</v>
      </c>
      <c r="E188" s="8" t="e" cm="1">
        <f t="array" aca="1" ref="E188" ca="1">ZKatzReduced($B188, E$69)</f>
        <v>#NAME?</v>
      </c>
      <c r="F188" s="8" t="e" cm="1">
        <f t="array" aca="1" ref="F188" ca="1">ZKatzReduced($B188, F$69)</f>
        <v>#NAME?</v>
      </c>
      <c r="G188" s="8" t="e" cm="1">
        <f t="array" aca="1" ref="G188" ca="1">ZKatzReduced($B188, G$69)</f>
        <v>#NAME?</v>
      </c>
      <c r="H188" s="8" t="e" cm="1">
        <f t="array" aca="1" ref="H188" ca="1">ZKatzReduced($B188, H$69)</f>
        <v>#NAME?</v>
      </c>
      <c r="I188" s="8" t="e" cm="1">
        <f t="array" aca="1" ref="I188" ca="1">ZKatzReduced($B188, I$69)</f>
        <v>#NAME?</v>
      </c>
      <c r="J188" s="8" t="e" cm="1">
        <f t="array" aca="1" ref="J188" ca="1">ZKatzReduced($B188, J$69)</f>
        <v>#NAME?</v>
      </c>
      <c r="K188" s="8" t="e" cm="1">
        <f t="array" aca="1" ref="K188" ca="1">ZKatzReduced($B188, K$69)</f>
        <v>#NAME?</v>
      </c>
      <c r="L188" s="8" t="e" cm="1">
        <f t="array" aca="1" ref="L188" ca="1">ZKatzReduced($B188, L$69)</f>
        <v>#NAME?</v>
      </c>
      <c r="M188" s="8" t="e" cm="1">
        <f t="array" aca="1" ref="M188" ca="1">ZKatzReduced($B188, M$69)</f>
        <v>#NAME?</v>
      </c>
      <c r="N188" s="8" t="e" cm="1">
        <f t="array" aca="1" ref="N188" ca="1">ZKatzReduced($B188, N$69)</f>
        <v>#NAME?</v>
      </c>
      <c r="O188" s="8" t="e" cm="1">
        <f t="array" aca="1" ref="O188" ca="1">ZKatzReduced($B188, O$69)</f>
        <v>#NAME?</v>
      </c>
      <c r="P188" s="8" t="e" cm="1">
        <f t="array" aca="1" ref="P188" ca="1">ZKatzReduced($B188, P$69)</f>
        <v>#NAME?</v>
      </c>
      <c r="Q188" s="8" t="e" cm="1">
        <f t="array" aca="1" ref="Q188" ca="1">ZKatzReduced($B188, Q$69)</f>
        <v>#NAME?</v>
      </c>
      <c r="R188" s="8" t="e" cm="1">
        <f t="array" aca="1" ref="R188" ca="1">ZKatzReduced($B188, R$69)</f>
        <v>#NAME?</v>
      </c>
    </row>
    <row r="189" spans="2:18" x14ac:dyDescent="0.45">
      <c r="B189" s="17">
        <f t="shared" si="14"/>
        <v>11.899999999999974</v>
      </c>
      <c r="C189" s="8" t="e" cm="1">
        <f t="array" aca="1" ref="C189" ca="1">ZKatzReduced($B189, C$69)</f>
        <v>#NAME?</v>
      </c>
      <c r="D189" s="8" t="e" cm="1">
        <f t="array" aca="1" ref="D189" ca="1">ZKatzReduced($B189, D$69)</f>
        <v>#NAME?</v>
      </c>
      <c r="E189" s="8" t="e" cm="1">
        <f t="array" aca="1" ref="E189" ca="1">ZKatzReduced($B189, E$69)</f>
        <v>#NAME?</v>
      </c>
      <c r="F189" s="8" t="e" cm="1">
        <f t="array" aca="1" ref="F189" ca="1">ZKatzReduced($B189, F$69)</f>
        <v>#NAME?</v>
      </c>
      <c r="G189" s="8" t="e" cm="1">
        <f t="array" aca="1" ref="G189" ca="1">ZKatzReduced($B189, G$69)</f>
        <v>#NAME?</v>
      </c>
      <c r="H189" s="8" t="e" cm="1">
        <f t="array" aca="1" ref="H189" ca="1">ZKatzReduced($B189, H$69)</f>
        <v>#NAME?</v>
      </c>
      <c r="I189" s="8" t="e" cm="1">
        <f t="array" aca="1" ref="I189" ca="1">ZKatzReduced($B189, I$69)</f>
        <v>#NAME?</v>
      </c>
      <c r="J189" s="8" t="e" cm="1">
        <f t="array" aca="1" ref="J189" ca="1">ZKatzReduced($B189, J$69)</f>
        <v>#NAME?</v>
      </c>
      <c r="K189" s="8" t="e" cm="1">
        <f t="array" aca="1" ref="K189" ca="1">ZKatzReduced($B189, K$69)</f>
        <v>#NAME?</v>
      </c>
      <c r="L189" s="8" t="e" cm="1">
        <f t="array" aca="1" ref="L189" ca="1">ZKatzReduced($B189, L$69)</f>
        <v>#NAME?</v>
      </c>
      <c r="M189" s="8" t="e" cm="1">
        <f t="array" aca="1" ref="M189" ca="1">ZKatzReduced($B189, M$69)</f>
        <v>#NAME?</v>
      </c>
      <c r="N189" s="8" t="e" cm="1">
        <f t="array" aca="1" ref="N189" ca="1">ZKatzReduced($B189, N$69)</f>
        <v>#NAME?</v>
      </c>
      <c r="O189" s="8" t="e" cm="1">
        <f t="array" aca="1" ref="O189" ca="1">ZKatzReduced($B189, O$69)</f>
        <v>#NAME?</v>
      </c>
      <c r="P189" s="8" t="e" cm="1">
        <f t="array" aca="1" ref="P189" ca="1">ZKatzReduced($B189, P$69)</f>
        <v>#NAME?</v>
      </c>
      <c r="Q189" s="8" t="e" cm="1">
        <f t="array" aca="1" ref="Q189" ca="1">ZKatzReduced($B189, Q$69)</f>
        <v>#NAME?</v>
      </c>
      <c r="R189" s="8" t="e" cm="1">
        <f t="array" aca="1" ref="R189" ca="1">ZKatzReduced($B189, R$69)</f>
        <v>#NAME?</v>
      </c>
    </row>
    <row r="190" spans="2:18" x14ac:dyDescent="0.45">
      <c r="B190" s="17">
        <f t="shared" si="14"/>
        <v>11.999999999999973</v>
      </c>
      <c r="C190" s="8" t="e" cm="1">
        <f t="array" aca="1" ref="C190" ca="1">ZKatzReduced($B190, C$69)</f>
        <v>#NAME?</v>
      </c>
      <c r="D190" s="8" t="e" cm="1">
        <f t="array" aca="1" ref="D190" ca="1">ZKatzReduced($B190, D$69)</f>
        <v>#NAME?</v>
      </c>
      <c r="E190" s="8" t="e" cm="1">
        <f t="array" aca="1" ref="E190" ca="1">ZKatzReduced($B190, E$69)</f>
        <v>#NAME?</v>
      </c>
      <c r="F190" s="8" t="e" cm="1">
        <f t="array" aca="1" ref="F190" ca="1">ZKatzReduced($B190, F$69)</f>
        <v>#NAME?</v>
      </c>
      <c r="G190" s="8" t="e" cm="1">
        <f t="array" aca="1" ref="G190" ca="1">ZKatzReduced($B190, G$69)</f>
        <v>#NAME?</v>
      </c>
      <c r="H190" s="8" t="e" cm="1">
        <f t="array" aca="1" ref="H190" ca="1">ZKatzReduced($B190, H$69)</f>
        <v>#NAME?</v>
      </c>
      <c r="I190" s="8" t="e" cm="1">
        <f t="array" aca="1" ref="I190" ca="1">ZKatzReduced($B190, I$69)</f>
        <v>#NAME?</v>
      </c>
      <c r="J190" s="8" t="e" cm="1">
        <f t="array" aca="1" ref="J190" ca="1">ZKatzReduced($B190, J$69)</f>
        <v>#NAME?</v>
      </c>
      <c r="K190" s="8" t="e" cm="1">
        <f t="array" aca="1" ref="K190" ca="1">ZKatzReduced($B190, K$69)</f>
        <v>#NAME?</v>
      </c>
      <c r="L190" s="8" t="e" cm="1">
        <f t="array" aca="1" ref="L190" ca="1">ZKatzReduced($B190, L$69)</f>
        <v>#NAME?</v>
      </c>
      <c r="M190" s="8" t="e" cm="1">
        <f t="array" aca="1" ref="M190" ca="1">ZKatzReduced($B190, M$69)</f>
        <v>#NAME?</v>
      </c>
      <c r="N190" s="8" t="e" cm="1">
        <f t="array" aca="1" ref="N190" ca="1">ZKatzReduced($B190, N$69)</f>
        <v>#NAME?</v>
      </c>
      <c r="O190" s="8" t="e" cm="1">
        <f t="array" aca="1" ref="O190" ca="1">ZKatzReduced($B190, O$69)</f>
        <v>#NAME?</v>
      </c>
      <c r="P190" s="8" t="e" cm="1">
        <f t="array" aca="1" ref="P190" ca="1">ZKatzReduced($B190, P$69)</f>
        <v>#NAME?</v>
      </c>
      <c r="Q190" s="8" t="e" cm="1">
        <f t="array" aca="1" ref="Q190" ca="1">ZKatzReduced($B190, Q$69)</f>
        <v>#NAME?</v>
      </c>
      <c r="R190" s="8" t="e" cm="1">
        <f t="array" aca="1" ref="R190" ca="1">ZKatzReduced($B190, R$69)</f>
        <v>#NAME?</v>
      </c>
    </row>
    <row r="191" spans="2:18" x14ac:dyDescent="0.45">
      <c r="B191" s="17">
        <f t="shared" si="14"/>
        <v>12.099999999999973</v>
      </c>
      <c r="C191" s="8" t="e" cm="1">
        <f t="array" aca="1" ref="C191" ca="1">ZKatzReduced($B191, C$69)</f>
        <v>#NAME?</v>
      </c>
      <c r="D191" s="8" t="e" cm="1">
        <f t="array" aca="1" ref="D191" ca="1">ZKatzReduced($B191, D$69)</f>
        <v>#NAME?</v>
      </c>
      <c r="E191" s="8" t="e" cm="1">
        <f t="array" aca="1" ref="E191" ca="1">ZKatzReduced($B191, E$69)</f>
        <v>#NAME?</v>
      </c>
      <c r="F191" s="8" t="e" cm="1">
        <f t="array" aca="1" ref="F191" ca="1">ZKatzReduced($B191, F$69)</f>
        <v>#NAME?</v>
      </c>
      <c r="G191" s="8" t="e" cm="1">
        <f t="array" aca="1" ref="G191" ca="1">ZKatzReduced($B191, G$69)</f>
        <v>#NAME?</v>
      </c>
      <c r="H191" s="8" t="e" cm="1">
        <f t="array" aca="1" ref="H191" ca="1">ZKatzReduced($B191, H$69)</f>
        <v>#NAME?</v>
      </c>
      <c r="I191" s="8" t="e" cm="1">
        <f t="array" aca="1" ref="I191" ca="1">ZKatzReduced($B191, I$69)</f>
        <v>#NAME?</v>
      </c>
      <c r="J191" s="8" t="e" cm="1">
        <f t="array" aca="1" ref="J191" ca="1">ZKatzReduced($B191, J$69)</f>
        <v>#NAME?</v>
      </c>
      <c r="K191" s="8" t="e" cm="1">
        <f t="array" aca="1" ref="K191" ca="1">ZKatzReduced($B191, K$69)</f>
        <v>#NAME?</v>
      </c>
      <c r="L191" s="8" t="e" cm="1">
        <f t="array" aca="1" ref="L191" ca="1">ZKatzReduced($B191, L$69)</f>
        <v>#NAME?</v>
      </c>
      <c r="M191" s="8" t="e" cm="1">
        <f t="array" aca="1" ref="M191" ca="1">ZKatzReduced($B191, M$69)</f>
        <v>#NAME?</v>
      </c>
      <c r="N191" s="8" t="e" cm="1">
        <f t="array" aca="1" ref="N191" ca="1">ZKatzReduced($B191, N$69)</f>
        <v>#NAME?</v>
      </c>
      <c r="O191" s="8" t="e" cm="1">
        <f t="array" aca="1" ref="O191" ca="1">ZKatzReduced($B191, O$69)</f>
        <v>#NAME?</v>
      </c>
      <c r="P191" s="8" t="e" cm="1">
        <f t="array" aca="1" ref="P191" ca="1">ZKatzReduced($B191, P$69)</f>
        <v>#NAME?</v>
      </c>
      <c r="Q191" s="8" t="e" cm="1">
        <f t="array" aca="1" ref="Q191" ca="1">ZKatzReduced($B191, Q$69)</f>
        <v>#NAME?</v>
      </c>
      <c r="R191" s="8" t="e" cm="1">
        <f t="array" aca="1" ref="R191" ca="1">ZKatzReduced($B191, R$69)</f>
        <v>#NAME?</v>
      </c>
    </row>
    <row r="192" spans="2:18" x14ac:dyDescent="0.45">
      <c r="B192" s="17">
        <f t="shared" si="14"/>
        <v>12.199999999999973</v>
      </c>
      <c r="C192" s="8" t="e" cm="1">
        <f t="array" aca="1" ref="C192" ca="1">ZKatzReduced($B192, C$69)</f>
        <v>#NAME?</v>
      </c>
      <c r="D192" s="8" t="e" cm="1">
        <f t="array" aca="1" ref="D192" ca="1">ZKatzReduced($B192, D$69)</f>
        <v>#NAME?</v>
      </c>
      <c r="E192" s="8" t="e" cm="1">
        <f t="array" aca="1" ref="E192" ca="1">ZKatzReduced($B192, E$69)</f>
        <v>#NAME?</v>
      </c>
      <c r="F192" s="8" t="e" cm="1">
        <f t="array" aca="1" ref="F192" ca="1">ZKatzReduced($B192, F$69)</f>
        <v>#NAME?</v>
      </c>
      <c r="G192" s="8" t="e" cm="1">
        <f t="array" aca="1" ref="G192" ca="1">ZKatzReduced($B192, G$69)</f>
        <v>#NAME?</v>
      </c>
      <c r="H192" s="8" t="e" cm="1">
        <f t="array" aca="1" ref="H192" ca="1">ZKatzReduced($B192, H$69)</f>
        <v>#NAME?</v>
      </c>
      <c r="I192" s="8" t="e" cm="1">
        <f t="array" aca="1" ref="I192" ca="1">ZKatzReduced($B192, I$69)</f>
        <v>#NAME?</v>
      </c>
      <c r="J192" s="8" t="e" cm="1">
        <f t="array" aca="1" ref="J192" ca="1">ZKatzReduced($B192, J$69)</f>
        <v>#NAME?</v>
      </c>
      <c r="K192" s="8" t="e" cm="1">
        <f t="array" aca="1" ref="K192" ca="1">ZKatzReduced($B192, K$69)</f>
        <v>#NAME?</v>
      </c>
      <c r="L192" s="8" t="e" cm="1">
        <f t="array" aca="1" ref="L192" ca="1">ZKatzReduced($B192, L$69)</f>
        <v>#NAME?</v>
      </c>
      <c r="M192" s="8" t="e" cm="1">
        <f t="array" aca="1" ref="M192" ca="1">ZKatzReduced($B192, M$69)</f>
        <v>#NAME?</v>
      </c>
      <c r="N192" s="8" t="e" cm="1">
        <f t="array" aca="1" ref="N192" ca="1">ZKatzReduced($B192, N$69)</f>
        <v>#NAME?</v>
      </c>
      <c r="O192" s="8" t="e" cm="1">
        <f t="array" aca="1" ref="O192" ca="1">ZKatzReduced($B192, O$69)</f>
        <v>#NAME?</v>
      </c>
      <c r="P192" s="8" t="e" cm="1">
        <f t="array" aca="1" ref="P192" ca="1">ZKatzReduced($B192, P$69)</f>
        <v>#NAME?</v>
      </c>
      <c r="Q192" s="8" t="e" cm="1">
        <f t="array" aca="1" ref="Q192" ca="1">ZKatzReduced($B192, Q$69)</f>
        <v>#NAME?</v>
      </c>
      <c r="R192" s="8" t="e" cm="1">
        <f t="array" aca="1" ref="R192" ca="1">ZKatzReduced($B192, R$69)</f>
        <v>#NAME?</v>
      </c>
    </row>
    <row r="193" spans="2:18" x14ac:dyDescent="0.45">
      <c r="B193" s="17">
        <f t="shared" si="14"/>
        <v>12.299999999999972</v>
      </c>
      <c r="C193" s="8" t="e" cm="1">
        <f t="array" aca="1" ref="C193" ca="1">ZKatzReduced($B193, C$69)</f>
        <v>#NAME?</v>
      </c>
      <c r="D193" s="8" t="e" cm="1">
        <f t="array" aca="1" ref="D193" ca="1">ZKatzReduced($B193, D$69)</f>
        <v>#NAME?</v>
      </c>
      <c r="E193" s="8" t="e" cm="1">
        <f t="array" aca="1" ref="E193" ca="1">ZKatzReduced($B193, E$69)</f>
        <v>#NAME?</v>
      </c>
      <c r="F193" s="8" t="e" cm="1">
        <f t="array" aca="1" ref="F193" ca="1">ZKatzReduced($B193, F$69)</f>
        <v>#NAME?</v>
      </c>
      <c r="G193" s="8" t="e" cm="1">
        <f t="array" aca="1" ref="G193" ca="1">ZKatzReduced($B193, G$69)</f>
        <v>#NAME?</v>
      </c>
      <c r="H193" s="8" t="e" cm="1">
        <f t="array" aca="1" ref="H193" ca="1">ZKatzReduced($B193, H$69)</f>
        <v>#NAME?</v>
      </c>
      <c r="I193" s="8" t="e" cm="1">
        <f t="array" aca="1" ref="I193" ca="1">ZKatzReduced($B193, I$69)</f>
        <v>#NAME?</v>
      </c>
      <c r="J193" s="8" t="e" cm="1">
        <f t="array" aca="1" ref="J193" ca="1">ZKatzReduced($B193, J$69)</f>
        <v>#NAME?</v>
      </c>
      <c r="K193" s="8" t="e" cm="1">
        <f t="array" aca="1" ref="K193" ca="1">ZKatzReduced($B193, K$69)</f>
        <v>#NAME?</v>
      </c>
      <c r="L193" s="8" t="e" cm="1">
        <f t="array" aca="1" ref="L193" ca="1">ZKatzReduced($B193, L$69)</f>
        <v>#NAME?</v>
      </c>
      <c r="M193" s="8" t="e" cm="1">
        <f t="array" aca="1" ref="M193" ca="1">ZKatzReduced($B193, M$69)</f>
        <v>#NAME?</v>
      </c>
      <c r="N193" s="8" t="e" cm="1">
        <f t="array" aca="1" ref="N193" ca="1">ZKatzReduced($B193, N$69)</f>
        <v>#NAME?</v>
      </c>
      <c r="O193" s="8" t="e" cm="1">
        <f t="array" aca="1" ref="O193" ca="1">ZKatzReduced($B193, O$69)</f>
        <v>#NAME?</v>
      </c>
      <c r="P193" s="8" t="e" cm="1">
        <f t="array" aca="1" ref="P193" ca="1">ZKatzReduced($B193, P$69)</f>
        <v>#NAME?</v>
      </c>
      <c r="Q193" s="8" t="e" cm="1">
        <f t="array" aca="1" ref="Q193" ca="1">ZKatzReduced($B193, Q$69)</f>
        <v>#NAME?</v>
      </c>
      <c r="R193" s="8" t="e" cm="1">
        <f t="array" aca="1" ref="R193" ca="1">ZKatzReduced($B193, R$69)</f>
        <v>#NAME?</v>
      </c>
    </row>
    <row r="194" spans="2:18" x14ac:dyDescent="0.45">
      <c r="B194" s="17">
        <f t="shared" si="14"/>
        <v>12.399999999999972</v>
      </c>
      <c r="C194" s="8" t="e" cm="1">
        <f t="array" aca="1" ref="C194" ca="1">ZKatzReduced($B194, C$69)</f>
        <v>#NAME?</v>
      </c>
      <c r="D194" s="8" t="e" cm="1">
        <f t="array" aca="1" ref="D194" ca="1">ZKatzReduced($B194, D$69)</f>
        <v>#NAME?</v>
      </c>
      <c r="E194" s="8" t="e" cm="1">
        <f t="array" aca="1" ref="E194" ca="1">ZKatzReduced($B194, E$69)</f>
        <v>#NAME?</v>
      </c>
      <c r="F194" s="8" t="e" cm="1">
        <f t="array" aca="1" ref="F194" ca="1">ZKatzReduced($B194, F$69)</f>
        <v>#NAME?</v>
      </c>
      <c r="G194" s="8" t="e" cm="1">
        <f t="array" aca="1" ref="G194" ca="1">ZKatzReduced($B194, G$69)</f>
        <v>#NAME?</v>
      </c>
      <c r="H194" s="8" t="e" cm="1">
        <f t="array" aca="1" ref="H194" ca="1">ZKatzReduced($B194, H$69)</f>
        <v>#NAME?</v>
      </c>
      <c r="I194" s="8" t="e" cm="1">
        <f t="array" aca="1" ref="I194" ca="1">ZKatzReduced($B194, I$69)</f>
        <v>#NAME?</v>
      </c>
      <c r="J194" s="8" t="e" cm="1">
        <f t="array" aca="1" ref="J194" ca="1">ZKatzReduced($B194, J$69)</f>
        <v>#NAME?</v>
      </c>
      <c r="K194" s="8" t="e" cm="1">
        <f t="array" aca="1" ref="K194" ca="1">ZKatzReduced($B194, K$69)</f>
        <v>#NAME?</v>
      </c>
      <c r="L194" s="8" t="e" cm="1">
        <f t="array" aca="1" ref="L194" ca="1">ZKatzReduced($B194, L$69)</f>
        <v>#NAME?</v>
      </c>
      <c r="M194" s="8" t="e" cm="1">
        <f t="array" aca="1" ref="M194" ca="1">ZKatzReduced($B194, M$69)</f>
        <v>#NAME?</v>
      </c>
      <c r="N194" s="8" t="e" cm="1">
        <f t="array" aca="1" ref="N194" ca="1">ZKatzReduced($B194, N$69)</f>
        <v>#NAME?</v>
      </c>
      <c r="O194" s="8" t="e" cm="1">
        <f t="array" aca="1" ref="O194" ca="1">ZKatzReduced($B194, O$69)</f>
        <v>#NAME?</v>
      </c>
      <c r="P194" s="8" t="e" cm="1">
        <f t="array" aca="1" ref="P194" ca="1">ZKatzReduced($B194, P$69)</f>
        <v>#NAME?</v>
      </c>
      <c r="Q194" s="8" t="e" cm="1">
        <f t="array" aca="1" ref="Q194" ca="1">ZKatzReduced($B194, Q$69)</f>
        <v>#NAME?</v>
      </c>
      <c r="R194" s="8" t="e" cm="1">
        <f t="array" aca="1" ref="R194" ca="1">ZKatzReduced($B194, R$69)</f>
        <v>#NAME?</v>
      </c>
    </row>
    <row r="195" spans="2:18" x14ac:dyDescent="0.45">
      <c r="B195" s="17">
        <f t="shared" si="14"/>
        <v>12.499999999999972</v>
      </c>
      <c r="C195" s="8" t="e" cm="1">
        <f t="array" aca="1" ref="C195" ca="1">ZKatzReduced($B195, C$69)</f>
        <v>#NAME?</v>
      </c>
      <c r="D195" s="8" t="e" cm="1">
        <f t="array" aca="1" ref="D195" ca="1">ZKatzReduced($B195, D$69)</f>
        <v>#NAME?</v>
      </c>
      <c r="E195" s="8" t="e" cm="1">
        <f t="array" aca="1" ref="E195" ca="1">ZKatzReduced($B195, E$69)</f>
        <v>#NAME?</v>
      </c>
      <c r="F195" s="8" t="e" cm="1">
        <f t="array" aca="1" ref="F195" ca="1">ZKatzReduced($B195, F$69)</f>
        <v>#NAME?</v>
      </c>
      <c r="G195" s="8" t="e" cm="1">
        <f t="array" aca="1" ref="G195" ca="1">ZKatzReduced($B195, G$69)</f>
        <v>#NAME?</v>
      </c>
      <c r="H195" s="8" t="e" cm="1">
        <f t="array" aca="1" ref="H195" ca="1">ZKatzReduced($B195, H$69)</f>
        <v>#NAME?</v>
      </c>
      <c r="I195" s="8" t="e" cm="1">
        <f t="array" aca="1" ref="I195" ca="1">ZKatzReduced($B195, I$69)</f>
        <v>#NAME?</v>
      </c>
      <c r="J195" s="8" t="e" cm="1">
        <f t="array" aca="1" ref="J195" ca="1">ZKatzReduced($B195, J$69)</f>
        <v>#NAME?</v>
      </c>
      <c r="K195" s="8" t="e" cm="1">
        <f t="array" aca="1" ref="K195" ca="1">ZKatzReduced($B195, K$69)</f>
        <v>#NAME?</v>
      </c>
      <c r="L195" s="8" t="e" cm="1">
        <f t="array" aca="1" ref="L195" ca="1">ZKatzReduced($B195, L$69)</f>
        <v>#NAME?</v>
      </c>
      <c r="M195" s="8" t="e" cm="1">
        <f t="array" aca="1" ref="M195" ca="1">ZKatzReduced($B195, M$69)</f>
        <v>#NAME?</v>
      </c>
      <c r="N195" s="8" t="e" cm="1">
        <f t="array" aca="1" ref="N195" ca="1">ZKatzReduced($B195, N$69)</f>
        <v>#NAME?</v>
      </c>
      <c r="O195" s="8" t="e" cm="1">
        <f t="array" aca="1" ref="O195" ca="1">ZKatzReduced($B195, O$69)</f>
        <v>#NAME?</v>
      </c>
      <c r="P195" s="8" t="e" cm="1">
        <f t="array" aca="1" ref="P195" ca="1">ZKatzReduced($B195, P$69)</f>
        <v>#NAME?</v>
      </c>
      <c r="Q195" s="8" t="e" cm="1">
        <f t="array" aca="1" ref="Q195" ca="1">ZKatzReduced($B195, Q$69)</f>
        <v>#NAME?</v>
      </c>
      <c r="R195" s="8" t="e" cm="1">
        <f t="array" aca="1" ref="R195" ca="1">ZKatzReduced($B195, R$69)</f>
        <v>#NAME?</v>
      </c>
    </row>
    <row r="196" spans="2:18" x14ac:dyDescent="0.45">
      <c r="B196" s="17">
        <f t="shared" si="14"/>
        <v>12.599999999999971</v>
      </c>
      <c r="C196" s="8" t="e" cm="1">
        <f t="array" aca="1" ref="C196" ca="1">ZKatzReduced($B196, C$69)</f>
        <v>#NAME?</v>
      </c>
      <c r="D196" s="8" t="e" cm="1">
        <f t="array" aca="1" ref="D196" ca="1">ZKatzReduced($B196, D$69)</f>
        <v>#NAME?</v>
      </c>
      <c r="E196" s="8" t="e" cm="1">
        <f t="array" aca="1" ref="E196" ca="1">ZKatzReduced($B196, E$69)</f>
        <v>#NAME?</v>
      </c>
      <c r="F196" s="8" t="e" cm="1">
        <f t="array" aca="1" ref="F196" ca="1">ZKatzReduced($B196, F$69)</f>
        <v>#NAME?</v>
      </c>
      <c r="G196" s="8" t="e" cm="1">
        <f t="array" aca="1" ref="G196" ca="1">ZKatzReduced($B196, G$69)</f>
        <v>#NAME?</v>
      </c>
      <c r="H196" s="8" t="e" cm="1">
        <f t="array" aca="1" ref="H196" ca="1">ZKatzReduced($B196, H$69)</f>
        <v>#NAME?</v>
      </c>
      <c r="I196" s="8" t="e" cm="1">
        <f t="array" aca="1" ref="I196" ca="1">ZKatzReduced($B196, I$69)</f>
        <v>#NAME?</v>
      </c>
      <c r="J196" s="8" t="e" cm="1">
        <f t="array" aca="1" ref="J196" ca="1">ZKatzReduced($B196, J$69)</f>
        <v>#NAME?</v>
      </c>
      <c r="K196" s="8" t="e" cm="1">
        <f t="array" aca="1" ref="K196" ca="1">ZKatzReduced($B196, K$69)</f>
        <v>#NAME?</v>
      </c>
      <c r="L196" s="8" t="e" cm="1">
        <f t="array" aca="1" ref="L196" ca="1">ZKatzReduced($B196, L$69)</f>
        <v>#NAME?</v>
      </c>
      <c r="M196" s="8" t="e" cm="1">
        <f t="array" aca="1" ref="M196" ca="1">ZKatzReduced($B196, M$69)</f>
        <v>#NAME?</v>
      </c>
      <c r="N196" s="8" t="e" cm="1">
        <f t="array" aca="1" ref="N196" ca="1">ZKatzReduced($B196, N$69)</f>
        <v>#NAME?</v>
      </c>
      <c r="O196" s="8" t="e" cm="1">
        <f t="array" aca="1" ref="O196" ca="1">ZKatzReduced($B196, O$69)</f>
        <v>#NAME?</v>
      </c>
      <c r="P196" s="8" t="e" cm="1">
        <f t="array" aca="1" ref="P196" ca="1">ZKatzReduced($B196, P$69)</f>
        <v>#NAME?</v>
      </c>
      <c r="Q196" s="8" t="e" cm="1">
        <f t="array" aca="1" ref="Q196" ca="1">ZKatzReduced($B196, Q$69)</f>
        <v>#NAME?</v>
      </c>
      <c r="R196" s="8" t="e" cm="1">
        <f t="array" aca="1" ref="R196" ca="1">ZKatzReduced($B196, R$69)</f>
        <v>#NAME?</v>
      </c>
    </row>
    <row r="197" spans="2:18" x14ac:dyDescent="0.45">
      <c r="B197" s="17">
        <f t="shared" si="14"/>
        <v>12.699999999999971</v>
      </c>
      <c r="C197" s="8" t="e" cm="1">
        <f t="array" aca="1" ref="C197" ca="1">ZKatzReduced($B197, C$69)</f>
        <v>#NAME?</v>
      </c>
      <c r="D197" s="8" t="e" cm="1">
        <f t="array" aca="1" ref="D197" ca="1">ZKatzReduced($B197, D$69)</f>
        <v>#NAME?</v>
      </c>
      <c r="E197" s="8" t="e" cm="1">
        <f t="array" aca="1" ref="E197" ca="1">ZKatzReduced($B197, E$69)</f>
        <v>#NAME?</v>
      </c>
      <c r="F197" s="8" t="e" cm="1">
        <f t="array" aca="1" ref="F197" ca="1">ZKatzReduced($B197, F$69)</f>
        <v>#NAME?</v>
      </c>
      <c r="G197" s="8" t="e" cm="1">
        <f t="array" aca="1" ref="G197" ca="1">ZKatzReduced($B197, G$69)</f>
        <v>#NAME?</v>
      </c>
      <c r="H197" s="8" t="e" cm="1">
        <f t="array" aca="1" ref="H197" ca="1">ZKatzReduced($B197, H$69)</f>
        <v>#NAME?</v>
      </c>
      <c r="I197" s="8" t="e" cm="1">
        <f t="array" aca="1" ref="I197" ca="1">ZKatzReduced($B197, I$69)</f>
        <v>#NAME?</v>
      </c>
      <c r="J197" s="8" t="e" cm="1">
        <f t="array" aca="1" ref="J197" ca="1">ZKatzReduced($B197, J$69)</f>
        <v>#NAME?</v>
      </c>
      <c r="K197" s="8" t="e" cm="1">
        <f t="array" aca="1" ref="K197" ca="1">ZKatzReduced($B197, K$69)</f>
        <v>#NAME?</v>
      </c>
      <c r="L197" s="8" t="e" cm="1">
        <f t="array" aca="1" ref="L197" ca="1">ZKatzReduced($B197, L$69)</f>
        <v>#NAME?</v>
      </c>
      <c r="M197" s="8" t="e" cm="1">
        <f t="array" aca="1" ref="M197" ca="1">ZKatzReduced($B197, M$69)</f>
        <v>#NAME?</v>
      </c>
      <c r="N197" s="8" t="e" cm="1">
        <f t="array" aca="1" ref="N197" ca="1">ZKatzReduced($B197, N$69)</f>
        <v>#NAME?</v>
      </c>
      <c r="O197" s="8" t="e" cm="1">
        <f t="array" aca="1" ref="O197" ca="1">ZKatzReduced($B197, O$69)</f>
        <v>#NAME?</v>
      </c>
      <c r="P197" s="8" t="e" cm="1">
        <f t="array" aca="1" ref="P197" ca="1">ZKatzReduced($B197, P$69)</f>
        <v>#NAME?</v>
      </c>
      <c r="Q197" s="8" t="e" cm="1">
        <f t="array" aca="1" ref="Q197" ca="1">ZKatzReduced($B197, Q$69)</f>
        <v>#NAME?</v>
      </c>
      <c r="R197" s="8" t="e" cm="1">
        <f t="array" aca="1" ref="R197" ca="1">ZKatzReduced($B197, R$69)</f>
        <v>#NAME?</v>
      </c>
    </row>
    <row r="198" spans="2:18" x14ac:dyDescent="0.45">
      <c r="B198" s="17">
        <f t="shared" si="14"/>
        <v>12.799999999999971</v>
      </c>
      <c r="C198" s="8" t="e" cm="1">
        <f t="array" aca="1" ref="C198" ca="1">ZKatzReduced($B198, C$69)</f>
        <v>#NAME?</v>
      </c>
      <c r="D198" s="8" t="e" cm="1">
        <f t="array" aca="1" ref="D198" ca="1">ZKatzReduced($B198, D$69)</f>
        <v>#NAME?</v>
      </c>
      <c r="E198" s="8" t="e" cm="1">
        <f t="array" aca="1" ref="E198" ca="1">ZKatzReduced($B198, E$69)</f>
        <v>#NAME?</v>
      </c>
      <c r="F198" s="8" t="e" cm="1">
        <f t="array" aca="1" ref="F198" ca="1">ZKatzReduced($B198, F$69)</f>
        <v>#NAME?</v>
      </c>
      <c r="G198" s="8" t="e" cm="1">
        <f t="array" aca="1" ref="G198" ca="1">ZKatzReduced($B198, G$69)</f>
        <v>#NAME?</v>
      </c>
      <c r="H198" s="8" t="e" cm="1">
        <f t="array" aca="1" ref="H198" ca="1">ZKatzReduced($B198, H$69)</f>
        <v>#NAME?</v>
      </c>
      <c r="I198" s="8" t="e" cm="1">
        <f t="array" aca="1" ref="I198" ca="1">ZKatzReduced($B198, I$69)</f>
        <v>#NAME?</v>
      </c>
      <c r="J198" s="8" t="e" cm="1">
        <f t="array" aca="1" ref="J198" ca="1">ZKatzReduced($B198, J$69)</f>
        <v>#NAME?</v>
      </c>
      <c r="K198" s="8" t="e" cm="1">
        <f t="array" aca="1" ref="K198" ca="1">ZKatzReduced($B198, K$69)</f>
        <v>#NAME?</v>
      </c>
      <c r="L198" s="8" t="e" cm="1">
        <f t="array" aca="1" ref="L198" ca="1">ZKatzReduced($B198, L$69)</f>
        <v>#NAME?</v>
      </c>
      <c r="M198" s="8" t="e" cm="1">
        <f t="array" aca="1" ref="M198" ca="1">ZKatzReduced($B198, M$69)</f>
        <v>#NAME?</v>
      </c>
      <c r="N198" s="8" t="e" cm="1">
        <f t="array" aca="1" ref="N198" ca="1">ZKatzReduced($B198, N$69)</f>
        <v>#NAME?</v>
      </c>
      <c r="O198" s="8" t="e" cm="1">
        <f t="array" aca="1" ref="O198" ca="1">ZKatzReduced($B198, O$69)</f>
        <v>#NAME?</v>
      </c>
      <c r="P198" s="8" t="e" cm="1">
        <f t="array" aca="1" ref="P198" ca="1">ZKatzReduced($B198, P$69)</f>
        <v>#NAME?</v>
      </c>
      <c r="Q198" s="8" t="e" cm="1">
        <f t="array" aca="1" ref="Q198" ca="1">ZKatzReduced($B198, Q$69)</f>
        <v>#NAME?</v>
      </c>
      <c r="R198" s="8" t="e" cm="1">
        <f t="array" aca="1" ref="R198" ca="1">ZKatzReduced($B198, R$69)</f>
        <v>#NAME?</v>
      </c>
    </row>
    <row r="199" spans="2:18" x14ac:dyDescent="0.45">
      <c r="B199" s="17">
        <f t="shared" si="14"/>
        <v>12.89999999999997</v>
      </c>
      <c r="C199" s="8" t="e" cm="1">
        <f t="array" aca="1" ref="C199" ca="1">ZKatzReduced($B199, C$69)</f>
        <v>#NAME?</v>
      </c>
      <c r="D199" s="8" t="e" cm="1">
        <f t="array" aca="1" ref="D199" ca="1">ZKatzReduced($B199, D$69)</f>
        <v>#NAME?</v>
      </c>
      <c r="E199" s="8" t="e" cm="1">
        <f t="array" aca="1" ref="E199" ca="1">ZKatzReduced($B199, E$69)</f>
        <v>#NAME?</v>
      </c>
      <c r="F199" s="8" t="e" cm="1">
        <f t="array" aca="1" ref="F199" ca="1">ZKatzReduced($B199, F$69)</f>
        <v>#NAME?</v>
      </c>
      <c r="G199" s="8" t="e" cm="1">
        <f t="array" aca="1" ref="G199" ca="1">ZKatzReduced($B199, G$69)</f>
        <v>#NAME?</v>
      </c>
      <c r="H199" s="8" t="e" cm="1">
        <f t="array" aca="1" ref="H199" ca="1">ZKatzReduced($B199, H$69)</f>
        <v>#NAME?</v>
      </c>
      <c r="I199" s="8" t="e" cm="1">
        <f t="array" aca="1" ref="I199" ca="1">ZKatzReduced($B199, I$69)</f>
        <v>#NAME?</v>
      </c>
      <c r="J199" s="8" t="e" cm="1">
        <f t="array" aca="1" ref="J199" ca="1">ZKatzReduced($B199, J$69)</f>
        <v>#NAME?</v>
      </c>
      <c r="K199" s="8" t="e" cm="1">
        <f t="array" aca="1" ref="K199" ca="1">ZKatzReduced($B199, K$69)</f>
        <v>#NAME?</v>
      </c>
      <c r="L199" s="8" t="e" cm="1">
        <f t="array" aca="1" ref="L199" ca="1">ZKatzReduced($B199, L$69)</f>
        <v>#NAME?</v>
      </c>
      <c r="M199" s="8" t="e" cm="1">
        <f t="array" aca="1" ref="M199" ca="1">ZKatzReduced($B199, M$69)</f>
        <v>#NAME?</v>
      </c>
      <c r="N199" s="8" t="e" cm="1">
        <f t="array" aca="1" ref="N199" ca="1">ZKatzReduced($B199, N$69)</f>
        <v>#NAME?</v>
      </c>
      <c r="O199" s="8" t="e" cm="1">
        <f t="array" aca="1" ref="O199" ca="1">ZKatzReduced($B199, O$69)</f>
        <v>#NAME?</v>
      </c>
      <c r="P199" s="8" t="e" cm="1">
        <f t="array" aca="1" ref="P199" ca="1">ZKatzReduced($B199, P$69)</f>
        <v>#NAME?</v>
      </c>
      <c r="Q199" s="8" t="e" cm="1">
        <f t="array" aca="1" ref="Q199" ca="1">ZKatzReduced($B199, Q$69)</f>
        <v>#NAME?</v>
      </c>
      <c r="R199" s="8" t="e" cm="1">
        <f t="array" aca="1" ref="R199" ca="1">ZKatzReduced($B199, R$69)</f>
        <v>#NAME?</v>
      </c>
    </row>
    <row r="200" spans="2:18" x14ac:dyDescent="0.45">
      <c r="B200" s="17">
        <f t="shared" ref="B200:B220" si="15">B199+0.1</f>
        <v>12.99999999999997</v>
      </c>
      <c r="C200" s="8" t="e" cm="1">
        <f t="array" aca="1" ref="C200" ca="1">ZKatzReduced($B200, C$69)</f>
        <v>#NAME?</v>
      </c>
      <c r="D200" s="8" t="e" cm="1">
        <f t="array" aca="1" ref="D200" ca="1">ZKatzReduced($B200, D$69)</f>
        <v>#NAME?</v>
      </c>
      <c r="E200" s="8" t="e" cm="1">
        <f t="array" aca="1" ref="E200" ca="1">ZKatzReduced($B200, E$69)</f>
        <v>#NAME?</v>
      </c>
      <c r="F200" s="8" t="e" cm="1">
        <f t="array" aca="1" ref="F200" ca="1">ZKatzReduced($B200, F$69)</f>
        <v>#NAME?</v>
      </c>
      <c r="G200" s="8" t="e" cm="1">
        <f t="array" aca="1" ref="G200" ca="1">ZKatzReduced($B200, G$69)</f>
        <v>#NAME?</v>
      </c>
      <c r="H200" s="8" t="e" cm="1">
        <f t="array" aca="1" ref="H200" ca="1">ZKatzReduced($B200, H$69)</f>
        <v>#NAME?</v>
      </c>
      <c r="I200" s="8" t="e" cm="1">
        <f t="array" aca="1" ref="I200" ca="1">ZKatzReduced($B200, I$69)</f>
        <v>#NAME?</v>
      </c>
      <c r="J200" s="8" t="e" cm="1">
        <f t="array" aca="1" ref="J200" ca="1">ZKatzReduced($B200, J$69)</f>
        <v>#NAME?</v>
      </c>
      <c r="K200" s="8" t="e" cm="1">
        <f t="array" aca="1" ref="K200" ca="1">ZKatzReduced($B200, K$69)</f>
        <v>#NAME?</v>
      </c>
      <c r="L200" s="8" t="e" cm="1">
        <f t="array" aca="1" ref="L200" ca="1">ZKatzReduced($B200, L$69)</f>
        <v>#NAME?</v>
      </c>
      <c r="M200" s="8" t="e" cm="1">
        <f t="array" aca="1" ref="M200" ca="1">ZKatzReduced($B200, M$69)</f>
        <v>#NAME?</v>
      </c>
      <c r="N200" s="8" t="e" cm="1">
        <f t="array" aca="1" ref="N200" ca="1">ZKatzReduced($B200, N$69)</f>
        <v>#NAME?</v>
      </c>
      <c r="O200" s="8" t="e" cm="1">
        <f t="array" aca="1" ref="O200" ca="1">ZKatzReduced($B200, O$69)</f>
        <v>#NAME?</v>
      </c>
      <c r="P200" s="8" t="e" cm="1">
        <f t="array" aca="1" ref="P200" ca="1">ZKatzReduced($B200, P$69)</f>
        <v>#NAME?</v>
      </c>
      <c r="Q200" s="8" t="e" cm="1">
        <f t="array" aca="1" ref="Q200" ca="1">ZKatzReduced($B200, Q$69)</f>
        <v>#NAME?</v>
      </c>
      <c r="R200" s="8" t="e" cm="1">
        <f t="array" aca="1" ref="R200" ca="1">ZKatzReduced($B200, R$69)</f>
        <v>#NAME?</v>
      </c>
    </row>
    <row r="201" spans="2:18" x14ac:dyDescent="0.45">
      <c r="B201" s="17">
        <f t="shared" si="15"/>
        <v>13.099999999999969</v>
      </c>
      <c r="C201" s="8" t="e" cm="1">
        <f t="array" aca="1" ref="C201" ca="1">ZKatzReduced($B201, C$69)</f>
        <v>#NAME?</v>
      </c>
      <c r="D201" s="8" t="e" cm="1">
        <f t="array" aca="1" ref="D201" ca="1">ZKatzReduced($B201, D$69)</f>
        <v>#NAME?</v>
      </c>
      <c r="E201" s="8" t="e" cm="1">
        <f t="array" aca="1" ref="E201" ca="1">ZKatzReduced($B201, E$69)</f>
        <v>#NAME?</v>
      </c>
      <c r="F201" s="8" t="e" cm="1">
        <f t="array" aca="1" ref="F201" ca="1">ZKatzReduced($B201, F$69)</f>
        <v>#NAME?</v>
      </c>
      <c r="G201" s="8" t="e" cm="1">
        <f t="array" aca="1" ref="G201" ca="1">ZKatzReduced($B201, G$69)</f>
        <v>#NAME?</v>
      </c>
      <c r="H201" s="8" t="e" cm="1">
        <f t="array" aca="1" ref="H201" ca="1">ZKatzReduced($B201, H$69)</f>
        <v>#NAME?</v>
      </c>
      <c r="I201" s="8" t="e" cm="1">
        <f t="array" aca="1" ref="I201" ca="1">ZKatzReduced($B201, I$69)</f>
        <v>#NAME?</v>
      </c>
      <c r="J201" s="8" t="e" cm="1">
        <f t="array" aca="1" ref="J201" ca="1">ZKatzReduced($B201, J$69)</f>
        <v>#NAME?</v>
      </c>
      <c r="K201" s="8" t="e" cm="1">
        <f t="array" aca="1" ref="K201" ca="1">ZKatzReduced($B201, K$69)</f>
        <v>#NAME?</v>
      </c>
      <c r="L201" s="8" t="e" cm="1">
        <f t="array" aca="1" ref="L201" ca="1">ZKatzReduced($B201, L$69)</f>
        <v>#NAME?</v>
      </c>
      <c r="M201" s="8" t="e" cm="1">
        <f t="array" aca="1" ref="M201" ca="1">ZKatzReduced($B201, M$69)</f>
        <v>#NAME?</v>
      </c>
      <c r="N201" s="8" t="e" cm="1">
        <f t="array" aca="1" ref="N201" ca="1">ZKatzReduced($B201, N$69)</f>
        <v>#NAME?</v>
      </c>
      <c r="O201" s="8" t="e" cm="1">
        <f t="array" aca="1" ref="O201" ca="1">ZKatzReduced($B201, O$69)</f>
        <v>#NAME?</v>
      </c>
      <c r="P201" s="8" t="e" cm="1">
        <f t="array" aca="1" ref="P201" ca="1">ZKatzReduced($B201, P$69)</f>
        <v>#NAME?</v>
      </c>
      <c r="Q201" s="8" t="e" cm="1">
        <f t="array" aca="1" ref="Q201" ca="1">ZKatzReduced($B201, Q$69)</f>
        <v>#NAME?</v>
      </c>
      <c r="R201" s="8" t="e" cm="1">
        <f t="array" aca="1" ref="R201" ca="1">ZKatzReduced($B201, R$69)</f>
        <v>#NAME?</v>
      </c>
    </row>
    <row r="202" spans="2:18" x14ac:dyDescent="0.45">
      <c r="B202" s="17">
        <f t="shared" si="15"/>
        <v>13.199999999999969</v>
      </c>
      <c r="C202" s="8" t="e" cm="1">
        <f t="array" aca="1" ref="C202" ca="1">ZKatzReduced($B202, C$69)</f>
        <v>#NAME?</v>
      </c>
      <c r="D202" s="8" t="e" cm="1">
        <f t="array" aca="1" ref="D202" ca="1">ZKatzReduced($B202, D$69)</f>
        <v>#NAME?</v>
      </c>
      <c r="E202" s="8" t="e" cm="1">
        <f t="array" aca="1" ref="E202" ca="1">ZKatzReduced($B202, E$69)</f>
        <v>#NAME?</v>
      </c>
      <c r="F202" s="8" t="e" cm="1">
        <f t="array" aca="1" ref="F202" ca="1">ZKatzReduced($B202, F$69)</f>
        <v>#NAME?</v>
      </c>
      <c r="G202" s="8" t="e" cm="1">
        <f t="array" aca="1" ref="G202" ca="1">ZKatzReduced($B202, G$69)</f>
        <v>#NAME?</v>
      </c>
      <c r="H202" s="8" t="e" cm="1">
        <f t="array" aca="1" ref="H202" ca="1">ZKatzReduced($B202, H$69)</f>
        <v>#NAME?</v>
      </c>
      <c r="I202" s="8" t="e" cm="1">
        <f t="array" aca="1" ref="I202" ca="1">ZKatzReduced($B202, I$69)</f>
        <v>#NAME?</v>
      </c>
      <c r="J202" s="8" t="e" cm="1">
        <f t="array" aca="1" ref="J202" ca="1">ZKatzReduced($B202, J$69)</f>
        <v>#NAME?</v>
      </c>
      <c r="K202" s="8" t="e" cm="1">
        <f t="array" aca="1" ref="K202" ca="1">ZKatzReduced($B202, K$69)</f>
        <v>#NAME?</v>
      </c>
      <c r="L202" s="8" t="e" cm="1">
        <f t="array" aca="1" ref="L202" ca="1">ZKatzReduced($B202, L$69)</f>
        <v>#NAME?</v>
      </c>
      <c r="M202" s="8" t="e" cm="1">
        <f t="array" aca="1" ref="M202" ca="1">ZKatzReduced($B202, M$69)</f>
        <v>#NAME?</v>
      </c>
      <c r="N202" s="8" t="e" cm="1">
        <f t="array" aca="1" ref="N202" ca="1">ZKatzReduced($B202, N$69)</f>
        <v>#NAME?</v>
      </c>
      <c r="O202" s="8" t="e" cm="1">
        <f t="array" aca="1" ref="O202" ca="1">ZKatzReduced($B202, O$69)</f>
        <v>#NAME?</v>
      </c>
      <c r="P202" s="8" t="e" cm="1">
        <f t="array" aca="1" ref="P202" ca="1">ZKatzReduced($B202, P$69)</f>
        <v>#NAME?</v>
      </c>
      <c r="Q202" s="8" t="e" cm="1">
        <f t="array" aca="1" ref="Q202" ca="1">ZKatzReduced($B202, Q$69)</f>
        <v>#NAME?</v>
      </c>
      <c r="R202" s="8" t="e" cm="1">
        <f t="array" aca="1" ref="R202" ca="1">ZKatzReduced($B202, R$69)</f>
        <v>#NAME?</v>
      </c>
    </row>
    <row r="203" spans="2:18" x14ac:dyDescent="0.45">
      <c r="B203" s="17">
        <f t="shared" si="15"/>
        <v>13.299999999999969</v>
      </c>
      <c r="C203" s="8" t="e" cm="1">
        <f t="array" aca="1" ref="C203" ca="1">ZKatzReduced($B203, C$69)</f>
        <v>#NAME?</v>
      </c>
      <c r="D203" s="8" t="e" cm="1">
        <f t="array" aca="1" ref="D203" ca="1">ZKatzReduced($B203, D$69)</f>
        <v>#NAME?</v>
      </c>
      <c r="E203" s="8" t="e" cm="1">
        <f t="array" aca="1" ref="E203" ca="1">ZKatzReduced($B203, E$69)</f>
        <v>#NAME?</v>
      </c>
      <c r="F203" s="8" t="e" cm="1">
        <f t="array" aca="1" ref="F203" ca="1">ZKatzReduced($B203, F$69)</f>
        <v>#NAME?</v>
      </c>
      <c r="G203" s="8" t="e" cm="1">
        <f t="array" aca="1" ref="G203" ca="1">ZKatzReduced($B203, G$69)</f>
        <v>#NAME?</v>
      </c>
      <c r="H203" s="8" t="e" cm="1">
        <f t="array" aca="1" ref="H203" ca="1">ZKatzReduced($B203, H$69)</f>
        <v>#NAME?</v>
      </c>
      <c r="I203" s="8" t="e" cm="1">
        <f t="array" aca="1" ref="I203" ca="1">ZKatzReduced($B203, I$69)</f>
        <v>#NAME?</v>
      </c>
      <c r="J203" s="8" t="e" cm="1">
        <f t="array" aca="1" ref="J203" ca="1">ZKatzReduced($B203, J$69)</f>
        <v>#NAME?</v>
      </c>
      <c r="K203" s="8" t="e" cm="1">
        <f t="array" aca="1" ref="K203" ca="1">ZKatzReduced($B203, K$69)</f>
        <v>#NAME?</v>
      </c>
      <c r="L203" s="8" t="e" cm="1">
        <f t="array" aca="1" ref="L203" ca="1">ZKatzReduced($B203, L$69)</f>
        <v>#NAME?</v>
      </c>
      <c r="M203" s="8" t="e" cm="1">
        <f t="array" aca="1" ref="M203" ca="1">ZKatzReduced($B203, M$69)</f>
        <v>#NAME?</v>
      </c>
      <c r="N203" s="8" t="e" cm="1">
        <f t="array" aca="1" ref="N203" ca="1">ZKatzReduced($B203, N$69)</f>
        <v>#NAME?</v>
      </c>
      <c r="O203" s="8" t="e" cm="1">
        <f t="array" aca="1" ref="O203" ca="1">ZKatzReduced($B203, O$69)</f>
        <v>#NAME?</v>
      </c>
      <c r="P203" s="8" t="e" cm="1">
        <f t="array" aca="1" ref="P203" ca="1">ZKatzReduced($B203, P$69)</f>
        <v>#NAME?</v>
      </c>
      <c r="Q203" s="8" t="e" cm="1">
        <f t="array" aca="1" ref="Q203" ca="1">ZKatzReduced($B203, Q$69)</f>
        <v>#NAME?</v>
      </c>
      <c r="R203" s="8" t="e" cm="1">
        <f t="array" aca="1" ref="R203" ca="1">ZKatzReduced($B203, R$69)</f>
        <v>#NAME?</v>
      </c>
    </row>
    <row r="204" spans="2:18" x14ac:dyDescent="0.45">
      <c r="B204" s="17">
        <f t="shared" si="15"/>
        <v>13.399999999999968</v>
      </c>
      <c r="C204" s="8" t="e" cm="1">
        <f t="array" aca="1" ref="C204" ca="1">ZKatzReduced($B204, C$69)</f>
        <v>#NAME?</v>
      </c>
      <c r="D204" s="8" t="e" cm="1">
        <f t="array" aca="1" ref="D204" ca="1">ZKatzReduced($B204, D$69)</f>
        <v>#NAME?</v>
      </c>
      <c r="E204" s="8" t="e" cm="1">
        <f t="array" aca="1" ref="E204" ca="1">ZKatzReduced($B204, E$69)</f>
        <v>#NAME?</v>
      </c>
      <c r="F204" s="8" t="e" cm="1">
        <f t="array" aca="1" ref="F204" ca="1">ZKatzReduced($B204, F$69)</f>
        <v>#NAME?</v>
      </c>
      <c r="G204" s="8" t="e" cm="1">
        <f t="array" aca="1" ref="G204" ca="1">ZKatzReduced($B204, G$69)</f>
        <v>#NAME?</v>
      </c>
      <c r="H204" s="8" t="e" cm="1">
        <f t="array" aca="1" ref="H204" ca="1">ZKatzReduced($B204, H$69)</f>
        <v>#NAME?</v>
      </c>
      <c r="I204" s="8" t="e" cm="1">
        <f t="array" aca="1" ref="I204" ca="1">ZKatzReduced($B204, I$69)</f>
        <v>#NAME?</v>
      </c>
      <c r="J204" s="8" t="e" cm="1">
        <f t="array" aca="1" ref="J204" ca="1">ZKatzReduced($B204, J$69)</f>
        <v>#NAME?</v>
      </c>
      <c r="K204" s="8" t="e" cm="1">
        <f t="array" aca="1" ref="K204" ca="1">ZKatzReduced($B204, K$69)</f>
        <v>#NAME?</v>
      </c>
      <c r="L204" s="8" t="e" cm="1">
        <f t="array" aca="1" ref="L204" ca="1">ZKatzReduced($B204, L$69)</f>
        <v>#NAME?</v>
      </c>
      <c r="M204" s="8" t="e" cm="1">
        <f t="array" aca="1" ref="M204" ca="1">ZKatzReduced($B204, M$69)</f>
        <v>#NAME?</v>
      </c>
      <c r="N204" s="8" t="e" cm="1">
        <f t="array" aca="1" ref="N204" ca="1">ZKatzReduced($B204, N$69)</f>
        <v>#NAME?</v>
      </c>
      <c r="O204" s="8" t="e" cm="1">
        <f t="array" aca="1" ref="O204" ca="1">ZKatzReduced($B204, O$69)</f>
        <v>#NAME?</v>
      </c>
      <c r="P204" s="8" t="e" cm="1">
        <f t="array" aca="1" ref="P204" ca="1">ZKatzReduced($B204, P$69)</f>
        <v>#NAME?</v>
      </c>
      <c r="Q204" s="8" t="e" cm="1">
        <f t="array" aca="1" ref="Q204" ca="1">ZKatzReduced($B204, Q$69)</f>
        <v>#NAME?</v>
      </c>
      <c r="R204" s="8" t="e" cm="1">
        <f t="array" aca="1" ref="R204" ca="1">ZKatzReduced($B204, R$69)</f>
        <v>#NAME?</v>
      </c>
    </row>
    <row r="205" spans="2:18" x14ac:dyDescent="0.45">
      <c r="B205" s="17">
        <f t="shared" si="15"/>
        <v>13.499999999999968</v>
      </c>
      <c r="C205" s="8" t="e" cm="1">
        <f t="array" aca="1" ref="C205" ca="1">ZKatzReduced($B205, C$69)</f>
        <v>#NAME?</v>
      </c>
      <c r="D205" s="8" t="e" cm="1">
        <f t="array" aca="1" ref="D205" ca="1">ZKatzReduced($B205, D$69)</f>
        <v>#NAME?</v>
      </c>
      <c r="E205" s="8" t="e" cm="1">
        <f t="array" aca="1" ref="E205" ca="1">ZKatzReduced($B205, E$69)</f>
        <v>#NAME?</v>
      </c>
      <c r="F205" s="8" t="e" cm="1">
        <f t="array" aca="1" ref="F205" ca="1">ZKatzReduced($B205, F$69)</f>
        <v>#NAME?</v>
      </c>
      <c r="G205" s="8" t="e" cm="1">
        <f t="array" aca="1" ref="G205" ca="1">ZKatzReduced($B205, G$69)</f>
        <v>#NAME?</v>
      </c>
      <c r="H205" s="8" t="e" cm="1">
        <f t="array" aca="1" ref="H205" ca="1">ZKatzReduced($B205, H$69)</f>
        <v>#NAME?</v>
      </c>
      <c r="I205" s="8" t="e" cm="1">
        <f t="array" aca="1" ref="I205" ca="1">ZKatzReduced($B205, I$69)</f>
        <v>#NAME?</v>
      </c>
      <c r="J205" s="8" t="e" cm="1">
        <f t="array" aca="1" ref="J205" ca="1">ZKatzReduced($B205, J$69)</f>
        <v>#NAME?</v>
      </c>
      <c r="K205" s="8" t="e" cm="1">
        <f t="array" aca="1" ref="K205" ca="1">ZKatzReduced($B205, K$69)</f>
        <v>#NAME?</v>
      </c>
      <c r="L205" s="8" t="e" cm="1">
        <f t="array" aca="1" ref="L205" ca="1">ZKatzReduced($B205, L$69)</f>
        <v>#NAME?</v>
      </c>
      <c r="M205" s="8" t="e" cm="1">
        <f t="array" aca="1" ref="M205" ca="1">ZKatzReduced($B205, M$69)</f>
        <v>#NAME?</v>
      </c>
      <c r="N205" s="8" t="e" cm="1">
        <f t="array" aca="1" ref="N205" ca="1">ZKatzReduced($B205, N$69)</f>
        <v>#NAME?</v>
      </c>
      <c r="O205" s="8" t="e" cm="1">
        <f t="array" aca="1" ref="O205" ca="1">ZKatzReduced($B205, O$69)</f>
        <v>#NAME?</v>
      </c>
      <c r="P205" s="8" t="e" cm="1">
        <f t="array" aca="1" ref="P205" ca="1">ZKatzReduced($B205, P$69)</f>
        <v>#NAME?</v>
      </c>
      <c r="Q205" s="8" t="e" cm="1">
        <f t="array" aca="1" ref="Q205" ca="1">ZKatzReduced($B205, Q$69)</f>
        <v>#NAME?</v>
      </c>
      <c r="R205" s="8" t="e" cm="1">
        <f t="array" aca="1" ref="R205" ca="1">ZKatzReduced($B205, R$69)</f>
        <v>#NAME?</v>
      </c>
    </row>
    <row r="206" spans="2:18" x14ac:dyDescent="0.45">
      <c r="B206" s="17">
        <f t="shared" si="15"/>
        <v>13.599999999999968</v>
      </c>
      <c r="C206" s="8" t="e" cm="1">
        <f t="array" aca="1" ref="C206" ca="1">ZKatzReduced($B206, C$69)</f>
        <v>#NAME?</v>
      </c>
      <c r="D206" s="8" t="e" cm="1">
        <f t="array" aca="1" ref="D206" ca="1">ZKatzReduced($B206, D$69)</f>
        <v>#NAME?</v>
      </c>
      <c r="E206" s="8" t="e" cm="1">
        <f t="array" aca="1" ref="E206" ca="1">ZKatzReduced($B206, E$69)</f>
        <v>#NAME?</v>
      </c>
      <c r="F206" s="8" t="e" cm="1">
        <f t="array" aca="1" ref="F206" ca="1">ZKatzReduced($B206, F$69)</f>
        <v>#NAME?</v>
      </c>
      <c r="G206" s="8" t="e" cm="1">
        <f t="array" aca="1" ref="G206" ca="1">ZKatzReduced($B206, G$69)</f>
        <v>#NAME?</v>
      </c>
      <c r="H206" s="8" t="e" cm="1">
        <f t="array" aca="1" ref="H206" ca="1">ZKatzReduced($B206, H$69)</f>
        <v>#NAME?</v>
      </c>
      <c r="I206" s="8" t="e" cm="1">
        <f t="array" aca="1" ref="I206" ca="1">ZKatzReduced($B206, I$69)</f>
        <v>#NAME?</v>
      </c>
      <c r="J206" s="8" t="e" cm="1">
        <f t="array" aca="1" ref="J206" ca="1">ZKatzReduced($B206, J$69)</f>
        <v>#NAME?</v>
      </c>
      <c r="K206" s="8" t="e" cm="1">
        <f t="array" aca="1" ref="K206" ca="1">ZKatzReduced($B206, K$69)</f>
        <v>#NAME?</v>
      </c>
      <c r="L206" s="8" t="e" cm="1">
        <f t="array" aca="1" ref="L206" ca="1">ZKatzReduced($B206, L$69)</f>
        <v>#NAME?</v>
      </c>
      <c r="M206" s="8" t="e" cm="1">
        <f t="array" aca="1" ref="M206" ca="1">ZKatzReduced($B206, M$69)</f>
        <v>#NAME?</v>
      </c>
      <c r="N206" s="8" t="e" cm="1">
        <f t="array" aca="1" ref="N206" ca="1">ZKatzReduced($B206, N$69)</f>
        <v>#NAME?</v>
      </c>
      <c r="O206" s="8" t="e" cm="1">
        <f t="array" aca="1" ref="O206" ca="1">ZKatzReduced($B206, O$69)</f>
        <v>#NAME?</v>
      </c>
      <c r="P206" s="8" t="e" cm="1">
        <f t="array" aca="1" ref="P206" ca="1">ZKatzReduced($B206, P$69)</f>
        <v>#NAME?</v>
      </c>
      <c r="Q206" s="8" t="e" cm="1">
        <f t="array" aca="1" ref="Q206" ca="1">ZKatzReduced($B206, Q$69)</f>
        <v>#NAME?</v>
      </c>
      <c r="R206" s="8" t="e" cm="1">
        <f t="array" aca="1" ref="R206" ca="1">ZKatzReduced($B206, R$69)</f>
        <v>#NAME?</v>
      </c>
    </row>
    <row r="207" spans="2:18" x14ac:dyDescent="0.45">
      <c r="B207" s="17">
        <f t="shared" si="15"/>
        <v>13.699999999999967</v>
      </c>
      <c r="C207" s="8" t="e" cm="1">
        <f t="array" aca="1" ref="C207" ca="1">ZKatzReduced($B207, C$69)</f>
        <v>#NAME?</v>
      </c>
      <c r="D207" s="8" t="e" cm="1">
        <f t="array" aca="1" ref="D207" ca="1">ZKatzReduced($B207, D$69)</f>
        <v>#NAME?</v>
      </c>
      <c r="E207" s="8" t="e" cm="1">
        <f t="array" aca="1" ref="E207" ca="1">ZKatzReduced($B207, E$69)</f>
        <v>#NAME?</v>
      </c>
      <c r="F207" s="8" t="e" cm="1">
        <f t="array" aca="1" ref="F207" ca="1">ZKatzReduced($B207, F$69)</f>
        <v>#NAME?</v>
      </c>
      <c r="G207" s="8" t="e" cm="1">
        <f t="array" aca="1" ref="G207" ca="1">ZKatzReduced($B207, G$69)</f>
        <v>#NAME?</v>
      </c>
      <c r="H207" s="8" t="e" cm="1">
        <f t="array" aca="1" ref="H207" ca="1">ZKatzReduced($B207, H$69)</f>
        <v>#NAME?</v>
      </c>
      <c r="I207" s="8" t="e" cm="1">
        <f t="array" aca="1" ref="I207" ca="1">ZKatzReduced($B207, I$69)</f>
        <v>#NAME?</v>
      </c>
      <c r="J207" s="8" t="e" cm="1">
        <f t="array" aca="1" ref="J207" ca="1">ZKatzReduced($B207, J$69)</f>
        <v>#NAME?</v>
      </c>
      <c r="K207" s="8" t="e" cm="1">
        <f t="array" aca="1" ref="K207" ca="1">ZKatzReduced($B207, K$69)</f>
        <v>#NAME?</v>
      </c>
      <c r="L207" s="8" t="e" cm="1">
        <f t="array" aca="1" ref="L207" ca="1">ZKatzReduced($B207, L$69)</f>
        <v>#NAME?</v>
      </c>
      <c r="M207" s="8" t="e" cm="1">
        <f t="array" aca="1" ref="M207" ca="1">ZKatzReduced($B207, M$69)</f>
        <v>#NAME?</v>
      </c>
      <c r="N207" s="8" t="e" cm="1">
        <f t="array" aca="1" ref="N207" ca="1">ZKatzReduced($B207, N$69)</f>
        <v>#NAME?</v>
      </c>
      <c r="O207" s="8" t="e" cm="1">
        <f t="array" aca="1" ref="O207" ca="1">ZKatzReduced($B207, O$69)</f>
        <v>#NAME?</v>
      </c>
      <c r="P207" s="8" t="e" cm="1">
        <f t="array" aca="1" ref="P207" ca="1">ZKatzReduced($B207, P$69)</f>
        <v>#NAME?</v>
      </c>
      <c r="Q207" s="8" t="e" cm="1">
        <f t="array" aca="1" ref="Q207" ca="1">ZKatzReduced($B207, Q$69)</f>
        <v>#NAME?</v>
      </c>
      <c r="R207" s="8" t="e" cm="1">
        <f t="array" aca="1" ref="R207" ca="1">ZKatzReduced($B207, R$69)</f>
        <v>#NAME?</v>
      </c>
    </row>
    <row r="208" spans="2:18" x14ac:dyDescent="0.45">
      <c r="B208" s="17">
        <f t="shared" si="15"/>
        <v>13.799999999999967</v>
      </c>
      <c r="C208" s="8" t="e" cm="1">
        <f t="array" aca="1" ref="C208" ca="1">ZKatzReduced($B208, C$69)</f>
        <v>#NAME?</v>
      </c>
      <c r="D208" s="8" t="e" cm="1">
        <f t="array" aca="1" ref="D208" ca="1">ZKatzReduced($B208, D$69)</f>
        <v>#NAME?</v>
      </c>
      <c r="E208" s="8" t="e" cm="1">
        <f t="array" aca="1" ref="E208" ca="1">ZKatzReduced($B208, E$69)</f>
        <v>#NAME?</v>
      </c>
      <c r="F208" s="8" t="e" cm="1">
        <f t="array" aca="1" ref="F208" ca="1">ZKatzReduced($B208, F$69)</f>
        <v>#NAME?</v>
      </c>
      <c r="G208" s="8" t="e" cm="1">
        <f t="array" aca="1" ref="G208" ca="1">ZKatzReduced($B208, G$69)</f>
        <v>#NAME?</v>
      </c>
      <c r="H208" s="8" t="e" cm="1">
        <f t="array" aca="1" ref="H208" ca="1">ZKatzReduced($B208, H$69)</f>
        <v>#NAME?</v>
      </c>
      <c r="I208" s="8" t="e" cm="1">
        <f t="array" aca="1" ref="I208" ca="1">ZKatzReduced($B208, I$69)</f>
        <v>#NAME?</v>
      </c>
      <c r="J208" s="8" t="e" cm="1">
        <f t="array" aca="1" ref="J208" ca="1">ZKatzReduced($B208, J$69)</f>
        <v>#NAME?</v>
      </c>
      <c r="K208" s="8" t="e" cm="1">
        <f t="array" aca="1" ref="K208" ca="1">ZKatzReduced($B208, K$69)</f>
        <v>#NAME?</v>
      </c>
      <c r="L208" s="8" t="e" cm="1">
        <f t="array" aca="1" ref="L208" ca="1">ZKatzReduced($B208, L$69)</f>
        <v>#NAME?</v>
      </c>
      <c r="M208" s="8" t="e" cm="1">
        <f t="array" aca="1" ref="M208" ca="1">ZKatzReduced($B208, M$69)</f>
        <v>#NAME?</v>
      </c>
      <c r="N208" s="8" t="e" cm="1">
        <f t="array" aca="1" ref="N208" ca="1">ZKatzReduced($B208, N$69)</f>
        <v>#NAME?</v>
      </c>
      <c r="O208" s="8" t="e" cm="1">
        <f t="array" aca="1" ref="O208" ca="1">ZKatzReduced($B208, O$69)</f>
        <v>#NAME?</v>
      </c>
      <c r="P208" s="8" t="e" cm="1">
        <f t="array" aca="1" ref="P208" ca="1">ZKatzReduced($B208, P$69)</f>
        <v>#NAME?</v>
      </c>
      <c r="Q208" s="8" t="e" cm="1">
        <f t="array" aca="1" ref="Q208" ca="1">ZKatzReduced($B208, Q$69)</f>
        <v>#NAME?</v>
      </c>
      <c r="R208" s="8" t="e" cm="1">
        <f t="array" aca="1" ref="R208" ca="1">ZKatzReduced($B208, R$69)</f>
        <v>#NAME?</v>
      </c>
    </row>
    <row r="209" spans="2:18" x14ac:dyDescent="0.45">
      <c r="B209" s="17">
        <f t="shared" si="15"/>
        <v>13.899999999999967</v>
      </c>
      <c r="C209" s="8" t="e" cm="1">
        <f t="array" aca="1" ref="C209" ca="1">ZKatzReduced($B209, C$69)</f>
        <v>#NAME?</v>
      </c>
      <c r="D209" s="8" t="e" cm="1">
        <f t="array" aca="1" ref="D209" ca="1">ZKatzReduced($B209, D$69)</f>
        <v>#NAME?</v>
      </c>
      <c r="E209" s="8" t="e" cm="1">
        <f t="array" aca="1" ref="E209" ca="1">ZKatzReduced($B209, E$69)</f>
        <v>#NAME?</v>
      </c>
      <c r="F209" s="8" t="e" cm="1">
        <f t="array" aca="1" ref="F209" ca="1">ZKatzReduced($B209, F$69)</f>
        <v>#NAME?</v>
      </c>
      <c r="G209" s="8" t="e" cm="1">
        <f t="array" aca="1" ref="G209" ca="1">ZKatzReduced($B209, G$69)</f>
        <v>#NAME?</v>
      </c>
      <c r="H209" s="8" t="e" cm="1">
        <f t="array" aca="1" ref="H209" ca="1">ZKatzReduced($B209, H$69)</f>
        <v>#NAME?</v>
      </c>
      <c r="I209" s="8" t="e" cm="1">
        <f t="array" aca="1" ref="I209" ca="1">ZKatzReduced($B209, I$69)</f>
        <v>#NAME?</v>
      </c>
      <c r="J209" s="8" t="e" cm="1">
        <f t="array" aca="1" ref="J209" ca="1">ZKatzReduced($B209, J$69)</f>
        <v>#NAME?</v>
      </c>
      <c r="K209" s="8" t="e" cm="1">
        <f t="array" aca="1" ref="K209" ca="1">ZKatzReduced($B209, K$69)</f>
        <v>#NAME?</v>
      </c>
      <c r="L209" s="8" t="e" cm="1">
        <f t="array" aca="1" ref="L209" ca="1">ZKatzReduced($B209, L$69)</f>
        <v>#NAME?</v>
      </c>
      <c r="M209" s="8" t="e" cm="1">
        <f t="array" aca="1" ref="M209" ca="1">ZKatzReduced($B209, M$69)</f>
        <v>#NAME?</v>
      </c>
      <c r="N209" s="8" t="e" cm="1">
        <f t="array" aca="1" ref="N209" ca="1">ZKatzReduced($B209, N$69)</f>
        <v>#NAME?</v>
      </c>
      <c r="O209" s="8" t="e" cm="1">
        <f t="array" aca="1" ref="O209" ca="1">ZKatzReduced($B209, O$69)</f>
        <v>#NAME?</v>
      </c>
      <c r="P209" s="8" t="e" cm="1">
        <f t="array" aca="1" ref="P209" ca="1">ZKatzReduced($B209, P$69)</f>
        <v>#NAME?</v>
      </c>
      <c r="Q209" s="8" t="e" cm="1">
        <f t="array" aca="1" ref="Q209" ca="1">ZKatzReduced($B209, Q$69)</f>
        <v>#NAME?</v>
      </c>
      <c r="R209" s="8" t="e" cm="1">
        <f t="array" aca="1" ref="R209" ca="1">ZKatzReduced($B209, R$69)</f>
        <v>#NAME?</v>
      </c>
    </row>
    <row r="210" spans="2:18" x14ac:dyDescent="0.45">
      <c r="B210" s="17">
        <f t="shared" si="15"/>
        <v>13.999999999999966</v>
      </c>
      <c r="C210" s="8" t="e" cm="1">
        <f t="array" aca="1" ref="C210" ca="1">ZKatzReduced($B210, C$69)</f>
        <v>#NAME?</v>
      </c>
      <c r="D210" s="8" t="e" cm="1">
        <f t="array" aca="1" ref="D210" ca="1">ZKatzReduced($B210, D$69)</f>
        <v>#NAME?</v>
      </c>
      <c r="E210" s="8" t="e" cm="1">
        <f t="array" aca="1" ref="E210" ca="1">ZKatzReduced($B210, E$69)</f>
        <v>#NAME?</v>
      </c>
      <c r="F210" s="8" t="e" cm="1">
        <f t="array" aca="1" ref="F210" ca="1">ZKatzReduced($B210, F$69)</f>
        <v>#NAME?</v>
      </c>
      <c r="G210" s="8" t="e" cm="1">
        <f t="array" aca="1" ref="G210" ca="1">ZKatzReduced($B210, G$69)</f>
        <v>#NAME?</v>
      </c>
      <c r="H210" s="8" t="e" cm="1">
        <f t="array" aca="1" ref="H210" ca="1">ZKatzReduced($B210, H$69)</f>
        <v>#NAME?</v>
      </c>
      <c r="I210" s="8" t="e" cm="1">
        <f t="array" aca="1" ref="I210" ca="1">ZKatzReduced($B210, I$69)</f>
        <v>#NAME?</v>
      </c>
      <c r="J210" s="8" t="e" cm="1">
        <f t="array" aca="1" ref="J210" ca="1">ZKatzReduced($B210, J$69)</f>
        <v>#NAME?</v>
      </c>
      <c r="K210" s="8" t="e" cm="1">
        <f t="array" aca="1" ref="K210" ca="1">ZKatzReduced($B210, K$69)</f>
        <v>#NAME?</v>
      </c>
      <c r="L210" s="8" t="e" cm="1">
        <f t="array" aca="1" ref="L210" ca="1">ZKatzReduced($B210, L$69)</f>
        <v>#NAME?</v>
      </c>
      <c r="M210" s="8" t="e" cm="1">
        <f t="array" aca="1" ref="M210" ca="1">ZKatzReduced($B210, M$69)</f>
        <v>#NAME?</v>
      </c>
      <c r="N210" s="8" t="e" cm="1">
        <f t="array" aca="1" ref="N210" ca="1">ZKatzReduced($B210, N$69)</f>
        <v>#NAME?</v>
      </c>
      <c r="O210" s="8" t="e" cm="1">
        <f t="array" aca="1" ref="O210" ca="1">ZKatzReduced($B210, O$69)</f>
        <v>#NAME?</v>
      </c>
      <c r="P210" s="8" t="e" cm="1">
        <f t="array" aca="1" ref="P210" ca="1">ZKatzReduced($B210, P$69)</f>
        <v>#NAME?</v>
      </c>
      <c r="Q210" s="8" t="e" cm="1">
        <f t="array" aca="1" ref="Q210" ca="1">ZKatzReduced($B210, Q$69)</f>
        <v>#NAME?</v>
      </c>
      <c r="R210" s="8" t="e" cm="1">
        <f t="array" aca="1" ref="R210" ca="1">ZKatzReduced($B210, R$69)</f>
        <v>#NAME?</v>
      </c>
    </row>
    <row r="211" spans="2:18" x14ac:dyDescent="0.45">
      <c r="B211" s="17">
        <f t="shared" si="15"/>
        <v>14.099999999999966</v>
      </c>
      <c r="C211" s="8" t="e" cm="1">
        <f t="array" aca="1" ref="C211" ca="1">ZKatzReduced($B211, C$69)</f>
        <v>#NAME?</v>
      </c>
      <c r="D211" s="8" t="e" cm="1">
        <f t="array" aca="1" ref="D211" ca="1">ZKatzReduced($B211, D$69)</f>
        <v>#NAME?</v>
      </c>
      <c r="E211" s="8" t="e" cm="1">
        <f t="array" aca="1" ref="E211" ca="1">ZKatzReduced($B211, E$69)</f>
        <v>#NAME?</v>
      </c>
      <c r="F211" s="8" t="e" cm="1">
        <f t="array" aca="1" ref="F211" ca="1">ZKatzReduced($B211, F$69)</f>
        <v>#NAME?</v>
      </c>
      <c r="G211" s="8" t="e" cm="1">
        <f t="array" aca="1" ref="G211" ca="1">ZKatzReduced($B211, G$69)</f>
        <v>#NAME?</v>
      </c>
      <c r="H211" s="8" t="e" cm="1">
        <f t="array" aca="1" ref="H211" ca="1">ZKatzReduced($B211, H$69)</f>
        <v>#NAME?</v>
      </c>
      <c r="I211" s="8" t="e" cm="1">
        <f t="array" aca="1" ref="I211" ca="1">ZKatzReduced($B211, I$69)</f>
        <v>#NAME?</v>
      </c>
      <c r="J211" s="8" t="e" cm="1">
        <f t="array" aca="1" ref="J211" ca="1">ZKatzReduced($B211, J$69)</f>
        <v>#NAME?</v>
      </c>
      <c r="K211" s="8" t="e" cm="1">
        <f t="array" aca="1" ref="K211" ca="1">ZKatzReduced($B211, K$69)</f>
        <v>#NAME?</v>
      </c>
      <c r="L211" s="8" t="e" cm="1">
        <f t="array" aca="1" ref="L211" ca="1">ZKatzReduced($B211, L$69)</f>
        <v>#NAME?</v>
      </c>
      <c r="M211" s="8" t="e" cm="1">
        <f t="array" aca="1" ref="M211" ca="1">ZKatzReduced($B211, M$69)</f>
        <v>#NAME?</v>
      </c>
      <c r="N211" s="8" t="e" cm="1">
        <f t="array" aca="1" ref="N211" ca="1">ZKatzReduced($B211, N$69)</f>
        <v>#NAME?</v>
      </c>
      <c r="O211" s="8" t="e" cm="1">
        <f t="array" aca="1" ref="O211" ca="1">ZKatzReduced($B211, O$69)</f>
        <v>#NAME?</v>
      </c>
      <c r="P211" s="8" t="e" cm="1">
        <f t="array" aca="1" ref="P211" ca="1">ZKatzReduced($B211, P$69)</f>
        <v>#NAME?</v>
      </c>
      <c r="Q211" s="8" t="e" cm="1">
        <f t="array" aca="1" ref="Q211" ca="1">ZKatzReduced($B211, Q$69)</f>
        <v>#NAME?</v>
      </c>
      <c r="R211" s="8" t="e" cm="1">
        <f t="array" aca="1" ref="R211" ca="1">ZKatzReduced($B211, R$69)</f>
        <v>#NAME?</v>
      </c>
    </row>
    <row r="212" spans="2:18" x14ac:dyDescent="0.45">
      <c r="B212" s="17">
        <f t="shared" si="15"/>
        <v>14.199999999999966</v>
      </c>
      <c r="C212" s="8" t="e" cm="1">
        <f t="array" aca="1" ref="C212" ca="1">ZKatzReduced($B212, C$69)</f>
        <v>#NAME?</v>
      </c>
      <c r="D212" s="8" t="e" cm="1">
        <f t="array" aca="1" ref="D212" ca="1">ZKatzReduced($B212, D$69)</f>
        <v>#NAME?</v>
      </c>
      <c r="E212" s="8" t="e" cm="1">
        <f t="array" aca="1" ref="E212" ca="1">ZKatzReduced($B212, E$69)</f>
        <v>#NAME?</v>
      </c>
      <c r="F212" s="8" t="e" cm="1">
        <f t="array" aca="1" ref="F212" ca="1">ZKatzReduced($B212, F$69)</f>
        <v>#NAME?</v>
      </c>
      <c r="G212" s="8" t="e" cm="1">
        <f t="array" aca="1" ref="G212" ca="1">ZKatzReduced($B212, G$69)</f>
        <v>#NAME?</v>
      </c>
      <c r="H212" s="8" t="e" cm="1">
        <f t="array" aca="1" ref="H212" ca="1">ZKatzReduced($B212, H$69)</f>
        <v>#NAME?</v>
      </c>
      <c r="I212" s="8" t="e" cm="1">
        <f t="array" aca="1" ref="I212" ca="1">ZKatzReduced($B212, I$69)</f>
        <v>#NAME?</v>
      </c>
      <c r="J212" s="8" t="e" cm="1">
        <f t="array" aca="1" ref="J212" ca="1">ZKatzReduced($B212, J$69)</f>
        <v>#NAME?</v>
      </c>
      <c r="K212" s="8" t="e" cm="1">
        <f t="array" aca="1" ref="K212" ca="1">ZKatzReduced($B212, K$69)</f>
        <v>#NAME?</v>
      </c>
      <c r="L212" s="8" t="e" cm="1">
        <f t="array" aca="1" ref="L212" ca="1">ZKatzReduced($B212, L$69)</f>
        <v>#NAME?</v>
      </c>
      <c r="M212" s="8" t="e" cm="1">
        <f t="array" aca="1" ref="M212" ca="1">ZKatzReduced($B212, M$69)</f>
        <v>#NAME?</v>
      </c>
      <c r="N212" s="8" t="e" cm="1">
        <f t="array" aca="1" ref="N212" ca="1">ZKatzReduced($B212, N$69)</f>
        <v>#NAME?</v>
      </c>
      <c r="O212" s="8" t="e" cm="1">
        <f t="array" aca="1" ref="O212" ca="1">ZKatzReduced($B212, O$69)</f>
        <v>#NAME?</v>
      </c>
      <c r="P212" s="8" t="e" cm="1">
        <f t="array" aca="1" ref="P212" ca="1">ZKatzReduced($B212, P$69)</f>
        <v>#NAME?</v>
      </c>
      <c r="Q212" s="8" t="e" cm="1">
        <f t="array" aca="1" ref="Q212" ca="1">ZKatzReduced($B212, Q$69)</f>
        <v>#NAME?</v>
      </c>
      <c r="R212" s="8" t="e" cm="1">
        <f t="array" aca="1" ref="R212" ca="1">ZKatzReduced($B212, R$69)</f>
        <v>#NAME?</v>
      </c>
    </row>
    <row r="213" spans="2:18" x14ac:dyDescent="0.45">
      <c r="B213" s="17">
        <f t="shared" si="15"/>
        <v>14.299999999999965</v>
      </c>
      <c r="C213" s="8" t="e" cm="1">
        <f t="array" aca="1" ref="C213" ca="1">ZKatzReduced($B213, C$69)</f>
        <v>#NAME?</v>
      </c>
      <c r="D213" s="8" t="e" cm="1">
        <f t="array" aca="1" ref="D213" ca="1">ZKatzReduced($B213, D$69)</f>
        <v>#NAME?</v>
      </c>
      <c r="E213" s="8" t="e" cm="1">
        <f t="array" aca="1" ref="E213" ca="1">ZKatzReduced($B213, E$69)</f>
        <v>#NAME?</v>
      </c>
      <c r="F213" s="8" t="e" cm="1">
        <f t="array" aca="1" ref="F213" ca="1">ZKatzReduced($B213, F$69)</f>
        <v>#NAME?</v>
      </c>
      <c r="G213" s="8" t="e" cm="1">
        <f t="array" aca="1" ref="G213" ca="1">ZKatzReduced($B213, G$69)</f>
        <v>#NAME?</v>
      </c>
      <c r="H213" s="8" t="e" cm="1">
        <f t="array" aca="1" ref="H213" ca="1">ZKatzReduced($B213, H$69)</f>
        <v>#NAME?</v>
      </c>
      <c r="I213" s="8" t="e" cm="1">
        <f t="array" aca="1" ref="I213" ca="1">ZKatzReduced($B213, I$69)</f>
        <v>#NAME?</v>
      </c>
      <c r="J213" s="8" t="e" cm="1">
        <f t="array" aca="1" ref="J213" ca="1">ZKatzReduced($B213, J$69)</f>
        <v>#NAME?</v>
      </c>
      <c r="K213" s="8" t="e" cm="1">
        <f t="array" aca="1" ref="K213" ca="1">ZKatzReduced($B213, K$69)</f>
        <v>#NAME?</v>
      </c>
      <c r="L213" s="8" t="e" cm="1">
        <f t="array" aca="1" ref="L213" ca="1">ZKatzReduced($B213, L$69)</f>
        <v>#NAME?</v>
      </c>
      <c r="M213" s="8" t="e" cm="1">
        <f t="array" aca="1" ref="M213" ca="1">ZKatzReduced($B213, M$69)</f>
        <v>#NAME?</v>
      </c>
      <c r="N213" s="8" t="e" cm="1">
        <f t="array" aca="1" ref="N213" ca="1">ZKatzReduced($B213, N$69)</f>
        <v>#NAME?</v>
      </c>
      <c r="O213" s="8" t="e" cm="1">
        <f t="array" aca="1" ref="O213" ca="1">ZKatzReduced($B213, O$69)</f>
        <v>#NAME?</v>
      </c>
      <c r="P213" s="8" t="e" cm="1">
        <f t="array" aca="1" ref="P213" ca="1">ZKatzReduced($B213, P$69)</f>
        <v>#NAME?</v>
      </c>
      <c r="Q213" s="8" t="e" cm="1">
        <f t="array" aca="1" ref="Q213" ca="1">ZKatzReduced($B213, Q$69)</f>
        <v>#NAME?</v>
      </c>
      <c r="R213" s="8" t="e" cm="1">
        <f t="array" aca="1" ref="R213" ca="1">ZKatzReduced($B213, R$69)</f>
        <v>#NAME?</v>
      </c>
    </row>
    <row r="214" spans="2:18" x14ac:dyDescent="0.45">
      <c r="B214" s="17">
        <f t="shared" si="15"/>
        <v>14.399999999999965</v>
      </c>
      <c r="C214" s="8" t="e" cm="1">
        <f t="array" aca="1" ref="C214" ca="1">ZKatzReduced($B214, C$69)</f>
        <v>#NAME?</v>
      </c>
      <c r="D214" s="8" t="e" cm="1">
        <f t="array" aca="1" ref="D214" ca="1">ZKatzReduced($B214, D$69)</f>
        <v>#NAME?</v>
      </c>
      <c r="E214" s="8" t="e" cm="1">
        <f t="array" aca="1" ref="E214" ca="1">ZKatzReduced($B214, E$69)</f>
        <v>#NAME?</v>
      </c>
      <c r="F214" s="8" t="e" cm="1">
        <f t="array" aca="1" ref="F214" ca="1">ZKatzReduced($B214, F$69)</f>
        <v>#NAME?</v>
      </c>
      <c r="G214" s="8" t="e" cm="1">
        <f t="array" aca="1" ref="G214" ca="1">ZKatzReduced($B214, G$69)</f>
        <v>#NAME?</v>
      </c>
      <c r="H214" s="8" t="e" cm="1">
        <f t="array" aca="1" ref="H214" ca="1">ZKatzReduced($B214, H$69)</f>
        <v>#NAME?</v>
      </c>
      <c r="I214" s="8" t="e" cm="1">
        <f t="array" aca="1" ref="I214" ca="1">ZKatzReduced($B214, I$69)</f>
        <v>#NAME?</v>
      </c>
      <c r="J214" s="8" t="e" cm="1">
        <f t="array" aca="1" ref="J214" ca="1">ZKatzReduced($B214, J$69)</f>
        <v>#NAME?</v>
      </c>
      <c r="K214" s="8" t="e" cm="1">
        <f t="array" aca="1" ref="K214" ca="1">ZKatzReduced($B214, K$69)</f>
        <v>#NAME?</v>
      </c>
      <c r="L214" s="8" t="e" cm="1">
        <f t="array" aca="1" ref="L214" ca="1">ZKatzReduced($B214, L$69)</f>
        <v>#NAME?</v>
      </c>
      <c r="M214" s="8" t="e" cm="1">
        <f t="array" aca="1" ref="M214" ca="1">ZKatzReduced($B214, M$69)</f>
        <v>#NAME?</v>
      </c>
      <c r="N214" s="8" t="e" cm="1">
        <f t="array" aca="1" ref="N214" ca="1">ZKatzReduced($B214, N$69)</f>
        <v>#NAME?</v>
      </c>
      <c r="O214" s="8" t="e" cm="1">
        <f t="array" aca="1" ref="O214" ca="1">ZKatzReduced($B214, O$69)</f>
        <v>#NAME?</v>
      </c>
      <c r="P214" s="8" t="e" cm="1">
        <f t="array" aca="1" ref="P214" ca="1">ZKatzReduced($B214, P$69)</f>
        <v>#NAME?</v>
      </c>
      <c r="Q214" s="8" t="e" cm="1">
        <f t="array" aca="1" ref="Q214" ca="1">ZKatzReduced($B214, Q$69)</f>
        <v>#NAME?</v>
      </c>
      <c r="R214" s="8" t="e" cm="1">
        <f t="array" aca="1" ref="R214" ca="1">ZKatzReduced($B214, R$69)</f>
        <v>#NAME?</v>
      </c>
    </row>
    <row r="215" spans="2:18" x14ac:dyDescent="0.45">
      <c r="B215" s="17">
        <f t="shared" si="15"/>
        <v>14.499999999999964</v>
      </c>
      <c r="C215" s="8" t="e" cm="1">
        <f t="array" aca="1" ref="C215" ca="1">ZKatzReduced($B215, C$69)</f>
        <v>#NAME?</v>
      </c>
      <c r="D215" s="8" t="e" cm="1">
        <f t="array" aca="1" ref="D215" ca="1">ZKatzReduced($B215, D$69)</f>
        <v>#NAME?</v>
      </c>
      <c r="E215" s="8" t="e" cm="1">
        <f t="array" aca="1" ref="E215" ca="1">ZKatzReduced($B215, E$69)</f>
        <v>#NAME?</v>
      </c>
      <c r="F215" s="8" t="e" cm="1">
        <f t="array" aca="1" ref="F215" ca="1">ZKatzReduced($B215, F$69)</f>
        <v>#NAME?</v>
      </c>
      <c r="G215" s="8" t="e" cm="1">
        <f t="array" aca="1" ref="G215" ca="1">ZKatzReduced($B215, G$69)</f>
        <v>#NAME?</v>
      </c>
      <c r="H215" s="8" t="e" cm="1">
        <f t="array" aca="1" ref="H215" ca="1">ZKatzReduced($B215, H$69)</f>
        <v>#NAME?</v>
      </c>
      <c r="I215" s="8" t="e" cm="1">
        <f t="array" aca="1" ref="I215" ca="1">ZKatzReduced($B215, I$69)</f>
        <v>#NAME?</v>
      </c>
      <c r="J215" s="8" t="e" cm="1">
        <f t="array" aca="1" ref="J215" ca="1">ZKatzReduced($B215, J$69)</f>
        <v>#NAME?</v>
      </c>
      <c r="K215" s="8" t="e" cm="1">
        <f t="array" aca="1" ref="K215" ca="1">ZKatzReduced($B215, K$69)</f>
        <v>#NAME?</v>
      </c>
      <c r="L215" s="8" t="e" cm="1">
        <f t="array" aca="1" ref="L215" ca="1">ZKatzReduced($B215, L$69)</f>
        <v>#NAME?</v>
      </c>
      <c r="M215" s="8" t="e" cm="1">
        <f t="array" aca="1" ref="M215" ca="1">ZKatzReduced($B215, M$69)</f>
        <v>#NAME?</v>
      </c>
      <c r="N215" s="8" t="e" cm="1">
        <f t="array" aca="1" ref="N215" ca="1">ZKatzReduced($B215, N$69)</f>
        <v>#NAME?</v>
      </c>
      <c r="O215" s="8" t="e" cm="1">
        <f t="array" aca="1" ref="O215" ca="1">ZKatzReduced($B215, O$69)</f>
        <v>#NAME?</v>
      </c>
      <c r="P215" s="8" t="e" cm="1">
        <f t="array" aca="1" ref="P215" ca="1">ZKatzReduced($B215, P$69)</f>
        <v>#NAME?</v>
      </c>
      <c r="Q215" s="8" t="e" cm="1">
        <f t="array" aca="1" ref="Q215" ca="1">ZKatzReduced($B215, Q$69)</f>
        <v>#NAME?</v>
      </c>
      <c r="R215" s="8" t="e" cm="1">
        <f t="array" aca="1" ref="R215" ca="1">ZKatzReduced($B215, R$69)</f>
        <v>#NAME?</v>
      </c>
    </row>
    <row r="216" spans="2:18" x14ac:dyDescent="0.45">
      <c r="B216" s="17">
        <f t="shared" si="15"/>
        <v>14.599999999999964</v>
      </c>
      <c r="C216" s="8" t="e" cm="1">
        <f t="array" aca="1" ref="C216" ca="1">ZKatzReduced($B216, C$69)</f>
        <v>#NAME?</v>
      </c>
      <c r="D216" s="8" t="e" cm="1">
        <f t="array" aca="1" ref="D216" ca="1">ZKatzReduced($B216, D$69)</f>
        <v>#NAME?</v>
      </c>
      <c r="E216" s="8" t="e" cm="1">
        <f t="array" aca="1" ref="E216" ca="1">ZKatzReduced($B216, E$69)</f>
        <v>#NAME?</v>
      </c>
      <c r="F216" s="8" t="e" cm="1">
        <f t="array" aca="1" ref="F216" ca="1">ZKatzReduced($B216, F$69)</f>
        <v>#NAME?</v>
      </c>
      <c r="G216" s="8" t="e" cm="1">
        <f t="array" aca="1" ref="G216" ca="1">ZKatzReduced($B216, G$69)</f>
        <v>#NAME?</v>
      </c>
      <c r="H216" s="8" t="e" cm="1">
        <f t="array" aca="1" ref="H216" ca="1">ZKatzReduced($B216, H$69)</f>
        <v>#NAME?</v>
      </c>
      <c r="I216" s="8" t="e" cm="1">
        <f t="array" aca="1" ref="I216" ca="1">ZKatzReduced($B216, I$69)</f>
        <v>#NAME?</v>
      </c>
      <c r="J216" s="8" t="e" cm="1">
        <f t="array" aca="1" ref="J216" ca="1">ZKatzReduced($B216, J$69)</f>
        <v>#NAME?</v>
      </c>
      <c r="K216" s="8" t="e" cm="1">
        <f t="array" aca="1" ref="K216" ca="1">ZKatzReduced($B216, K$69)</f>
        <v>#NAME?</v>
      </c>
      <c r="L216" s="8" t="e" cm="1">
        <f t="array" aca="1" ref="L216" ca="1">ZKatzReduced($B216, L$69)</f>
        <v>#NAME?</v>
      </c>
      <c r="M216" s="8" t="e" cm="1">
        <f t="array" aca="1" ref="M216" ca="1">ZKatzReduced($B216, M$69)</f>
        <v>#NAME?</v>
      </c>
      <c r="N216" s="8" t="e" cm="1">
        <f t="array" aca="1" ref="N216" ca="1">ZKatzReduced($B216, N$69)</f>
        <v>#NAME?</v>
      </c>
      <c r="O216" s="8" t="e" cm="1">
        <f t="array" aca="1" ref="O216" ca="1">ZKatzReduced($B216, O$69)</f>
        <v>#NAME?</v>
      </c>
      <c r="P216" s="8" t="e" cm="1">
        <f t="array" aca="1" ref="P216" ca="1">ZKatzReduced($B216, P$69)</f>
        <v>#NAME?</v>
      </c>
      <c r="Q216" s="8" t="e" cm="1">
        <f t="array" aca="1" ref="Q216" ca="1">ZKatzReduced($B216, Q$69)</f>
        <v>#NAME?</v>
      </c>
      <c r="R216" s="8" t="e" cm="1">
        <f t="array" aca="1" ref="R216" ca="1">ZKatzReduced($B216, R$69)</f>
        <v>#NAME?</v>
      </c>
    </row>
    <row r="217" spans="2:18" x14ac:dyDescent="0.45">
      <c r="B217" s="17">
        <f t="shared" si="15"/>
        <v>14.699999999999964</v>
      </c>
      <c r="C217" s="8" t="e" cm="1">
        <f t="array" aca="1" ref="C217" ca="1">ZKatzReduced($B217, C$69)</f>
        <v>#NAME?</v>
      </c>
      <c r="D217" s="8" t="e" cm="1">
        <f t="array" aca="1" ref="D217" ca="1">ZKatzReduced($B217, D$69)</f>
        <v>#NAME?</v>
      </c>
      <c r="E217" s="8" t="e" cm="1">
        <f t="array" aca="1" ref="E217" ca="1">ZKatzReduced($B217, E$69)</f>
        <v>#NAME?</v>
      </c>
      <c r="F217" s="8" t="e" cm="1">
        <f t="array" aca="1" ref="F217" ca="1">ZKatzReduced($B217, F$69)</f>
        <v>#NAME?</v>
      </c>
      <c r="G217" s="8" t="e" cm="1">
        <f t="array" aca="1" ref="G217" ca="1">ZKatzReduced($B217, G$69)</f>
        <v>#NAME?</v>
      </c>
      <c r="H217" s="8" t="e" cm="1">
        <f t="array" aca="1" ref="H217" ca="1">ZKatzReduced($B217, H$69)</f>
        <v>#NAME?</v>
      </c>
      <c r="I217" s="8" t="e" cm="1">
        <f t="array" aca="1" ref="I217" ca="1">ZKatzReduced($B217, I$69)</f>
        <v>#NAME?</v>
      </c>
      <c r="J217" s="8" t="e" cm="1">
        <f t="array" aca="1" ref="J217" ca="1">ZKatzReduced($B217, J$69)</f>
        <v>#NAME?</v>
      </c>
      <c r="K217" s="8" t="e" cm="1">
        <f t="array" aca="1" ref="K217" ca="1">ZKatzReduced($B217, K$69)</f>
        <v>#NAME?</v>
      </c>
      <c r="L217" s="8" t="e" cm="1">
        <f t="array" aca="1" ref="L217" ca="1">ZKatzReduced($B217, L$69)</f>
        <v>#NAME?</v>
      </c>
      <c r="M217" s="8" t="e" cm="1">
        <f t="array" aca="1" ref="M217" ca="1">ZKatzReduced($B217, M$69)</f>
        <v>#NAME?</v>
      </c>
      <c r="N217" s="8" t="e" cm="1">
        <f t="array" aca="1" ref="N217" ca="1">ZKatzReduced($B217, N$69)</f>
        <v>#NAME?</v>
      </c>
      <c r="O217" s="8" t="e" cm="1">
        <f t="array" aca="1" ref="O217" ca="1">ZKatzReduced($B217, O$69)</f>
        <v>#NAME?</v>
      </c>
      <c r="P217" s="8" t="e" cm="1">
        <f t="array" aca="1" ref="P217" ca="1">ZKatzReduced($B217, P$69)</f>
        <v>#NAME?</v>
      </c>
      <c r="Q217" s="8" t="e" cm="1">
        <f t="array" aca="1" ref="Q217" ca="1">ZKatzReduced($B217, Q$69)</f>
        <v>#NAME?</v>
      </c>
      <c r="R217" s="8" t="e" cm="1">
        <f t="array" aca="1" ref="R217" ca="1">ZKatzReduced($B217, R$69)</f>
        <v>#NAME?</v>
      </c>
    </row>
    <row r="218" spans="2:18" x14ac:dyDescent="0.45">
      <c r="B218" s="17">
        <f t="shared" si="15"/>
        <v>14.799999999999963</v>
      </c>
      <c r="C218" s="8" t="e" cm="1">
        <f t="array" aca="1" ref="C218" ca="1">ZKatzReduced($B218, C$69)</f>
        <v>#NAME?</v>
      </c>
      <c r="D218" s="8" t="e" cm="1">
        <f t="array" aca="1" ref="D218" ca="1">ZKatzReduced($B218, D$69)</f>
        <v>#NAME?</v>
      </c>
      <c r="E218" s="8" t="e" cm="1">
        <f t="array" aca="1" ref="E218" ca="1">ZKatzReduced($B218, E$69)</f>
        <v>#NAME?</v>
      </c>
      <c r="F218" s="8" t="e" cm="1">
        <f t="array" aca="1" ref="F218" ca="1">ZKatzReduced($B218, F$69)</f>
        <v>#NAME?</v>
      </c>
      <c r="G218" s="8" t="e" cm="1">
        <f t="array" aca="1" ref="G218" ca="1">ZKatzReduced($B218, G$69)</f>
        <v>#NAME?</v>
      </c>
      <c r="H218" s="8" t="e" cm="1">
        <f t="array" aca="1" ref="H218" ca="1">ZKatzReduced($B218, H$69)</f>
        <v>#NAME?</v>
      </c>
      <c r="I218" s="8" t="e" cm="1">
        <f t="array" aca="1" ref="I218" ca="1">ZKatzReduced($B218, I$69)</f>
        <v>#NAME?</v>
      </c>
      <c r="J218" s="8" t="e" cm="1">
        <f t="array" aca="1" ref="J218" ca="1">ZKatzReduced($B218, J$69)</f>
        <v>#NAME?</v>
      </c>
      <c r="K218" s="8" t="e" cm="1">
        <f t="array" aca="1" ref="K218" ca="1">ZKatzReduced($B218, K$69)</f>
        <v>#NAME?</v>
      </c>
      <c r="L218" s="8" t="e" cm="1">
        <f t="array" aca="1" ref="L218" ca="1">ZKatzReduced($B218, L$69)</f>
        <v>#NAME?</v>
      </c>
      <c r="M218" s="8" t="e" cm="1">
        <f t="array" aca="1" ref="M218" ca="1">ZKatzReduced($B218, M$69)</f>
        <v>#NAME?</v>
      </c>
      <c r="N218" s="8" t="e" cm="1">
        <f t="array" aca="1" ref="N218" ca="1">ZKatzReduced($B218, N$69)</f>
        <v>#NAME?</v>
      </c>
      <c r="O218" s="8" t="e" cm="1">
        <f t="array" aca="1" ref="O218" ca="1">ZKatzReduced($B218, O$69)</f>
        <v>#NAME?</v>
      </c>
      <c r="P218" s="8" t="e" cm="1">
        <f t="array" aca="1" ref="P218" ca="1">ZKatzReduced($B218, P$69)</f>
        <v>#NAME?</v>
      </c>
      <c r="Q218" s="8" t="e" cm="1">
        <f t="array" aca="1" ref="Q218" ca="1">ZKatzReduced($B218, Q$69)</f>
        <v>#NAME?</v>
      </c>
      <c r="R218" s="8" t="e" cm="1">
        <f t="array" aca="1" ref="R218" ca="1">ZKatzReduced($B218, R$69)</f>
        <v>#NAME?</v>
      </c>
    </row>
    <row r="219" spans="2:18" x14ac:dyDescent="0.45">
      <c r="B219" s="17">
        <f t="shared" si="15"/>
        <v>14.899999999999963</v>
      </c>
      <c r="C219" s="8" t="e" cm="1">
        <f t="array" aca="1" ref="C219" ca="1">ZKatzReduced($B219, C$69)</f>
        <v>#NAME?</v>
      </c>
      <c r="D219" s="8" t="e" cm="1">
        <f t="array" aca="1" ref="D219" ca="1">ZKatzReduced($B219, D$69)</f>
        <v>#NAME?</v>
      </c>
      <c r="E219" s="8" t="e" cm="1">
        <f t="array" aca="1" ref="E219" ca="1">ZKatzReduced($B219, E$69)</f>
        <v>#NAME?</v>
      </c>
      <c r="F219" s="8" t="e" cm="1">
        <f t="array" aca="1" ref="F219" ca="1">ZKatzReduced($B219, F$69)</f>
        <v>#NAME?</v>
      </c>
      <c r="G219" s="8" t="e" cm="1">
        <f t="array" aca="1" ref="G219" ca="1">ZKatzReduced($B219, G$69)</f>
        <v>#NAME?</v>
      </c>
      <c r="H219" s="8" t="e" cm="1">
        <f t="array" aca="1" ref="H219" ca="1">ZKatzReduced($B219, H$69)</f>
        <v>#NAME?</v>
      </c>
      <c r="I219" s="8" t="e" cm="1">
        <f t="array" aca="1" ref="I219" ca="1">ZKatzReduced($B219, I$69)</f>
        <v>#NAME?</v>
      </c>
      <c r="J219" s="8" t="e" cm="1">
        <f t="array" aca="1" ref="J219" ca="1">ZKatzReduced($B219, J$69)</f>
        <v>#NAME?</v>
      </c>
      <c r="K219" s="8" t="e" cm="1">
        <f t="array" aca="1" ref="K219" ca="1">ZKatzReduced($B219, K$69)</f>
        <v>#NAME?</v>
      </c>
      <c r="L219" s="8" t="e" cm="1">
        <f t="array" aca="1" ref="L219" ca="1">ZKatzReduced($B219, L$69)</f>
        <v>#NAME?</v>
      </c>
      <c r="M219" s="8" t="e" cm="1">
        <f t="array" aca="1" ref="M219" ca="1">ZKatzReduced($B219, M$69)</f>
        <v>#NAME?</v>
      </c>
      <c r="N219" s="8" t="e" cm="1">
        <f t="array" aca="1" ref="N219" ca="1">ZKatzReduced($B219, N$69)</f>
        <v>#NAME?</v>
      </c>
      <c r="O219" s="8" t="e" cm="1">
        <f t="array" aca="1" ref="O219" ca="1">ZKatzReduced($B219, O$69)</f>
        <v>#NAME?</v>
      </c>
      <c r="P219" s="8" t="e" cm="1">
        <f t="array" aca="1" ref="P219" ca="1">ZKatzReduced($B219, P$69)</f>
        <v>#NAME?</v>
      </c>
      <c r="Q219" s="8" t="e" cm="1">
        <f t="array" aca="1" ref="Q219" ca="1">ZKatzReduced($B219, Q$69)</f>
        <v>#NAME?</v>
      </c>
      <c r="R219" s="8" t="e" cm="1">
        <f t="array" aca="1" ref="R219" ca="1">ZKatzReduced($B219, R$69)</f>
        <v>#NAME?</v>
      </c>
    </row>
    <row r="220" spans="2:18" x14ac:dyDescent="0.45">
      <c r="B220" s="17">
        <f t="shared" si="15"/>
        <v>14.999999999999963</v>
      </c>
      <c r="C220" s="8" t="e" cm="1">
        <f t="array" aca="1" ref="C220" ca="1">ZKatzReduced($B220, C$69)</f>
        <v>#NAME?</v>
      </c>
      <c r="D220" s="8" t="e" cm="1">
        <f t="array" aca="1" ref="D220" ca="1">ZKatzReduced($B220, D$69)</f>
        <v>#NAME?</v>
      </c>
      <c r="E220" s="8" t="e" cm="1">
        <f t="array" aca="1" ref="E220" ca="1">ZKatzReduced($B220, E$69)</f>
        <v>#NAME?</v>
      </c>
      <c r="F220" s="8" t="e" cm="1">
        <f t="array" aca="1" ref="F220" ca="1">ZKatzReduced($B220, F$69)</f>
        <v>#NAME?</v>
      </c>
      <c r="G220" s="8" t="e" cm="1">
        <f t="array" aca="1" ref="G220" ca="1">ZKatzReduced($B220, G$69)</f>
        <v>#NAME?</v>
      </c>
      <c r="H220" s="8" t="e" cm="1">
        <f t="array" aca="1" ref="H220" ca="1">ZKatzReduced($B220, H$69)</f>
        <v>#NAME?</v>
      </c>
      <c r="I220" s="8" t="e" cm="1">
        <f t="array" aca="1" ref="I220" ca="1">ZKatzReduced($B220, I$69)</f>
        <v>#NAME?</v>
      </c>
      <c r="J220" s="8" t="e" cm="1">
        <f t="array" aca="1" ref="J220" ca="1">ZKatzReduced($B220, J$69)</f>
        <v>#NAME?</v>
      </c>
      <c r="K220" s="8" t="e" cm="1">
        <f t="array" aca="1" ref="K220" ca="1">ZKatzReduced($B220, K$69)</f>
        <v>#NAME?</v>
      </c>
      <c r="L220" s="8" t="e" cm="1">
        <f t="array" aca="1" ref="L220" ca="1">ZKatzReduced($B220, L$69)</f>
        <v>#NAME?</v>
      </c>
      <c r="M220" s="8" t="e" cm="1">
        <f t="array" aca="1" ref="M220" ca="1">ZKatzReduced($B220, M$69)</f>
        <v>#NAME?</v>
      </c>
      <c r="N220" s="8" t="e" cm="1">
        <f t="array" aca="1" ref="N220" ca="1">ZKatzReduced($B220, N$69)</f>
        <v>#NAME?</v>
      </c>
      <c r="O220" s="8" t="e" cm="1">
        <f t="array" aca="1" ref="O220" ca="1">ZKatzReduced($B220, O$69)</f>
        <v>#NAME?</v>
      </c>
      <c r="P220" s="8" t="e" cm="1">
        <f t="array" aca="1" ref="P220" ca="1">ZKatzReduced($B220, P$69)</f>
        <v>#NAME?</v>
      </c>
      <c r="Q220" s="8" t="e" cm="1">
        <f t="array" aca="1" ref="Q220" ca="1">ZKatzReduced($B220, Q$69)</f>
        <v>#NAME?</v>
      </c>
      <c r="R220" s="8" t="e" cm="1">
        <f t="array" aca="1" ref="R220" ca="1">ZKatzReduced($B220, R$69)</f>
        <v>#NAME?</v>
      </c>
    </row>
    <row r="221" spans="2:18" x14ac:dyDescent="0.45">
      <c r="B221" s="17"/>
    </row>
    <row r="222" spans="2:18" x14ac:dyDescent="0.45">
      <c r="B222" s="17"/>
    </row>
    <row r="223" spans="2:18" x14ac:dyDescent="0.45">
      <c r="B223" s="17"/>
    </row>
    <row r="224" spans="2:18" x14ac:dyDescent="0.45">
      <c r="B224" s="17"/>
    </row>
    <row r="225" spans="2:2" x14ac:dyDescent="0.45">
      <c r="B225" s="17"/>
    </row>
    <row r="226" spans="2:2" x14ac:dyDescent="0.45">
      <c r="B226" s="17"/>
    </row>
    <row r="227" spans="2:2" x14ac:dyDescent="0.45">
      <c r="B227" s="17"/>
    </row>
    <row r="228" spans="2:2" x14ac:dyDescent="0.45">
      <c r="B228" s="17"/>
    </row>
    <row r="229" spans="2:2" x14ac:dyDescent="0.45">
      <c r="B229" s="17"/>
    </row>
    <row r="230" spans="2:2" x14ac:dyDescent="0.45">
      <c r="B230" s="17"/>
    </row>
    <row r="231" spans="2:2" x14ac:dyDescent="0.45">
      <c r="B231" s="17"/>
    </row>
    <row r="232" spans="2:2" x14ac:dyDescent="0.45">
      <c r="B232" s="17"/>
    </row>
    <row r="233" spans="2:2" x14ac:dyDescent="0.45">
      <c r="B233" s="17"/>
    </row>
    <row r="234" spans="2:2" x14ac:dyDescent="0.45">
      <c r="B234" s="17"/>
    </row>
    <row r="235" spans="2:2" x14ac:dyDescent="0.45">
      <c r="B235" s="17"/>
    </row>
    <row r="236" spans="2:2" x14ac:dyDescent="0.45">
      <c r="B236" s="17"/>
    </row>
  </sheetData>
  <pageMargins left="0.7" right="0.7" top="0.75" bottom="0.75" header="0.3" footer="0.3"/>
  <ignoredErrors>
    <ignoredError sqref="D2:K2 C2 D4:J4 C4 C3:K3" unlocked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GasGradient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McNealy, Timothy R</dc:creator>
  <cp:lastModifiedBy>McNealy, Timothy R</cp:lastModifiedBy>
  <dcterms:created xsi:type="dcterms:W3CDTF">2026-05-29T20:08:21Z</dcterms:created>
  <dcterms:modified xsi:type="dcterms:W3CDTF">2026-07-19T12:41:25Z</dcterms:modified>
</cp:coreProperties>
</file>