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3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texastechuniversity-my.sharepoint.com/personal/timothy_r_mcnealy_ttu_edu/Documents/_RA/Software/PetroEnExcel/"/>
    </mc:Choice>
  </mc:AlternateContent>
  <xr:revisionPtr revIDLastSave="1166" documentId="8_{03D19FE5-4C1B-4758-A069-D27241405251}" xr6:coauthVersionLast="47" xr6:coauthVersionMax="47" xr10:uidLastSave="{B219CBF7-92C9-458A-AB13-3EFA1244CDD5}"/>
  <bookViews>
    <workbookView xWindow="7150" yWindow="840" windowWidth="28760" windowHeight="19340" xr2:uid="{A7B65BF9-4374-45FC-9EF2-B95AF0170AC1}"/>
  </bookViews>
  <sheets>
    <sheet name="Sheet1" sheetId="1" r:id="rId1"/>
    <sheet name="Sheet2" sheetId="2" r:id="rId2"/>
    <sheet name="Sheet3" sheetId="3" r:id="rId3"/>
  </sheets>
  <definedNames>
    <definedName name="solver_adj" localSheetId="1" hidden="1">Sheet2!$C$11</definedName>
    <definedName name="solver_cvg" localSheetId="1" hidden="1">0.0001</definedName>
    <definedName name="solver_drv" localSheetId="1" hidden="1">1</definedName>
    <definedName name="solver_eng" localSheetId="1" hidden="1">1</definedName>
    <definedName name="solver_est" localSheetId="1" hidden="1">1</definedName>
    <definedName name="solver_itr" localSheetId="1" hidden="1">2147483647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1</definedName>
    <definedName name="solver_nod" localSheetId="1" hidden="1">2147483647</definedName>
    <definedName name="solver_num" localSheetId="1" hidden="1">0</definedName>
    <definedName name="solver_nwt" localSheetId="1" hidden="1">1</definedName>
    <definedName name="solver_opt" localSheetId="1" hidden="1">Sheet2!$E$11</definedName>
    <definedName name="solver_pre" localSheetId="1" hidden="1">0.000001</definedName>
    <definedName name="solver_rbv" localSheetId="1" hidden="1">1</definedName>
    <definedName name="solver_rlx" localSheetId="1" hidden="1">2</definedName>
    <definedName name="solver_rsd" localSheetId="1" hidden="1">0</definedName>
    <definedName name="solver_scl" localSheetId="1" hidden="1">1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3</definedName>
    <definedName name="solver_val" localSheetId="1" hidden="1">0.3</definedName>
    <definedName name="solver_ver" localSheetId="1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8" i="3" l="1" a="1"/>
  <c r="D8" i="3" a="1"/>
  <c r="D10" i="3" a="1"/>
  <c r="D9" i="3" a="1"/>
  <c r="D11" i="3" a="1"/>
  <c r="B19" i="1" a="1"/>
  <c r="B18" i="1" a="1"/>
  <c r="B20" i="1" s="1" a="1"/>
  <c r="B14" i="1" a="1"/>
  <c r="B15" i="1" s="1" a="1"/>
  <c r="B24" i="1" s="1" a="1"/>
  <c r="D3" i="1"/>
  <c r="G1" i="3" a="1"/>
  <c r="G2" i="3" s="1" a="1"/>
  <c r="E11" i="3" a="1"/>
  <c r="C8" i="3"/>
  <c r="O11" i="3" a="1"/>
  <c r="O9" i="3" a="1"/>
  <c r="O10" i="3" a="1"/>
  <c r="O8" i="3" a="1"/>
  <c r="C1" i="3"/>
  <c r="M5" i="3"/>
  <c r="B9" i="3"/>
  <c r="B10" i="3"/>
  <c r="B11" i="3"/>
  <c r="B8" i="3"/>
  <c r="F7" i="3"/>
  <c r="G7" i="3"/>
  <c r="H7" i="3"/>
  <c r="K7" i="3"/>
  <c r="L7" i="3"/>
  <c r="M7" i="3"/>
  <c r="N7" i="3"/>
  <c r="E7" i="3"/>
  <c r="C9" i="3"/>
  <c r="C10" i="3"/>
  <c r="C11" i="3"/>
  <c r="N5" i="3"/>
  <c r="F5" i="3"/>
  <c r="G5" i="3"/>
  <c r="H5" i="3"/>
  <c r="I5" i="3"/>
  <c r="K5" i="3"/>
  <c r="L5" i="3"/>
  <c r="J4" i="3"/>
  <c r="I4" i="3"/>
  <c r="I7" i="3" s="1"/>
  <c r="E5" i="3"/>
  <c r="D41" i="2"/>
  <c r="D42" i="2"/>
  <c r="D43" i="2"/>
  <c r="D44" i="2"/>
  <c r="D45" i="2"/>
  <c r="D46" i="2"/>
  <c r="D47" i="2"/>
  <c r="D48" i="2"/>
  <c r="D49" i="2"/>
  <c r="D40" i="2"/>
  <c r="C31" i="2"/>
  <c r="C32" i="2"/>
  <c r="C33" i="2"/>
  <c r="C34" i="2"/>
  <c r="C35" i="2"/>
  <c r="C36" i="2"/>
  <c r="C37" i="2"/>
  <c r="C38" i="2"/>
  <c r="C39" i="2"/>
  <c r="C30" i="2"/>
  <c r="D31" i="2"/>
  <c r="D32" i="2"/>
  <c r="D33" i="2"/>
  <c r="D34" i="2"/>
  <c r="D35" i="2"/>
  <c r="D36" i="2"/>
  <c r="D37" i="2"/>
  <c r="D38" i="2"/>
  <c r="D39" i="2"/>
  <c r="D30" i="2"/>
  <c r="F6" i="2"/>
  <c r="F7" i="2"/>
  <c r="F8" i="2"/>
  <c r="F9" i="2"/>
  <c r="F10" i="2"/>
  <c r="F11" i="2"/>
  <c r="F12" i="2"/>
  <c r="F13" i="2"/>
  <c r="F14" i="2"/>
  <c r="F5" i="2"/>
  <c r="E5" i="2" a="1"/>
  <c r="E6" i="2" a="1"/>
  <c r="E7" i="2" a="1"/>
  <c r="E8" i="2" a="1"/>
  <c r="E9" i="2" a="1"/>
  <c r="E10" i="2" a="1"/>
  <c r="E11" i="2" a="1"/>
  <c r="E12" i="2" a="1"/>
  <c r="E13" i="2" a="1"/>
  <c r="E14" i="2" a="1"/>
  <c r="E2" i="2"/>
  <c r="C7" i="2"/>
  <c r="C8" i="2" s="1"/>
  <c r="C9" i="2" s="1"/>
  <c r="C12" i="2" s="1"/>
  <c r="C13" i="2" s="1"/>
  <c r="C14" i="2" s="1"/>
  <c r="C6" i="2"/>
  <c r="B7" i="2"/>
  <c r="B8" i="2" s="1"/>
  <c r="B9" i="2" s="1"/>
  <c r="B10" i="2" s="1"/>
  <c r="B11" i="2" s="1"/>
  <c r="B12" i="2" s="1"/>
  <c r="B13" i="2" s="1"/>
  <c r="B14" i="2" s="1"/>
  <c r="B6" i="2"/>
  <c r="B12" i="1"/>
  <c r="A25" i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B13" i="1"/>
  <c r="D4" i="1"/>
  <c r="I24" i="1" l="1" a="1"/>
  <c r="J24" i="1" a="1"/>
  <c r="I25" i="1" a="1"/>
  <c r="I26" i="1" a="1"/>
  <c r="I27" i="1" a="1"/>
  <c r="I28" i="1" a="1"/>
  <c r="I29" i="1" a="1"/>
  <c r="I30" i="1" a="1"/>
  <c r="K30" i="1" s="1"/>
  <c r="I31" i="1" a="1"/>
  <c r="K31" i="1" s="1"/>
  <c r="I32" i="1" a="1"/>
  <c r="I33" i="1" a="1"/>
  <c r="I34" i="1" a="1"/>
  <c r="I35" i="1" a="1"/>
  <c r="I36" i="1" a="1"/>
  <c r="I37" i="1" a="1"/>
  <c r="I38" i="1" a="1"/>
  <c r="I39" i="1" a="1"/>
  <c r="I40" i="1" a="1"/>
  <c r="I41" i="1" a="1"/>
  <c r="I42" i="1" a="1"/>
  <c r="K42" i="1" s="1"/>
  <c r="I43" i="1" a="1"/>
  <c r="I46" i="1" a="1"/>
  <c r="I47" i="1" a="1"/>
  <c r="I48" i="1" a="1"/>
  <c r="I49" i="1" a="1"/>
  <c r="I50" i="1" a="1"/>
  <c r="I51" i="1" a="1"/>
  <c r="I52" i="1" a="1"/>
  <c r="I53" i="1" a="1"/>
  <c r="I54" i="1" a="1"/>
  <c r="I55" i="1" a="1"/>
  <c r="I56" i="1" a="1"/>
  <c r="I57" i="1" a="1"/>
  <c r="I58" i="1" a="1"/>
  <c r="I59" i="1" a="1"/>
  <c r="I60" i="1" a="1"/>
  <c r="K60" i="1" s="1"/>
  <c r="I61" i="1" a="1"/>
  <c r="I62" i="1" a="1"/>
  <c r="I63" i="1" a="1"/>
  <c r="I64" i="1" a="1"/>
  <c r="I65" i="1" a="1"/>
  <c r="I66" i="1" a="1"/>
  <c r="I67" i="1" a="1"/>
  <c r="I68" i="1" a="1"/>
  <c r="I69" i="1" a="1"/>
  <c r="I70" i="1" a="1"/>
  <c r="I71" i="1" a="1"/>
  <c r="K71" i="1" s="1"/>
  <c r="I73" i="1" a="1"/>
  <c r="I74" i="1" a="1"/>
  <c r="I75" i="1" a="1"/>
  <c r="I76" i="1" a="1"/>
  <c r="I77" i="1" a="1"/>
  <c r="I78" i="1" a="1"/>
  <c r="I79" i="1" a="1"/>
  <c r="I80" i="1" a="1"/>
  <c r="I81" i="1" a="1"/>
  <c r="I82" i="1" a="1"/>
  <c r="K82" i="1" s="1"/>
  <c r="I83" i="1" a="1"/>
  <c r="I84" i="1" a="1"/>
  <c r="I85" i="1" a="1"/>
  <c r="I86" i="1" a="1"/>
  <c r="I87" i="1" a="1"/>
  <c r="I88" i="1" a="1"/>
  <c r="I89" i="1" a="1"/>
  <c r="I90" i="1" a="1"/>
  <c r="I91" i="1" a="1"/>
  <c r="I92" i="1" a="1"/>
  <c r="I93" i="1" a="1"/>
  <c r="I94" i="1" a="1"/>
  <c r="I95" i="1" a="1"/>
  <c r="I96" i="1" a="1"/>
  <c r="I97" i="1" a="1"/>
  <c r="I98" i="1" a="1"/>
  <c r="I99" i="1" a="1"/>
  <c r="I100" i="1" a="1"/>
  <c r="I101" i="1" a="1"/>
  <c r="I102" i="1" a="1"/>
  <c r="I103" i="1" a="1"/>
  <c r="I104" i="1" a="1"/>
  <c r="I105" i="1" a="1"/>
  <c r="I106" i="1" a="1"/>
  <c r="I107" i="1" a="1"/>
  <c r="I108" i="1" a="1"/>
  <c r="I109" i="1" a="1"/>
  <c r="I112" i="1" a="1"/>
  <c r="I116" i="1" a="1"/>
  <c r="I119" i="1" a="1"/>
  <c r="I122" i="1" a="1"/>
  <c r="I45" i="1" a="1"/>
  <c r="I111" i="1" a="1"/>
  <c r="I115" i="1" a="1"/>
  <c r="I124" i="1" a="1"/>
  <c r="I44" i="1" a="1"/>
  <c r="I113" i="1" a="1"/>
  <c r="I118" i="1" a="1"/>
  <c r="I121" i="1" a="1"/>
  <c r="I72" i="1" a="1"/>
  <c r="I110" i="1" a="1"/>
  <c r="I114" i="1" a="1"/>
  <c r="I117" i="1" a="1"/>
  <c r="I120" i="1" a="1"/>
  <c r="I123" i="1" a="1"/>
  <c r="N8" i="3" a="1"/>
  <c r="F8" i="3" a="1"/>
  <c r="G8" i="3" a="1"/>
  <c r="K8" i="3" a="1"/>
  <c r="M8" i="3" a="1"/>
  <c r="I8" i="3" a="1"/>
  <c r="L8" i="3" a="1"/>
  <c r="J8" i="3" a="1"/>
  <c r="H8" i="3" a="1"/>
  <c r="J31" i="1" a="1"/>
  <c r="J42" i="1" a="1"/>
  <c r="J60" i="1" a="1"/>
  <c r="J82" i="1" a="1"/>
  <c r="J30" i="1" a="1"/>
  <c r="J71" i="1" a="1"/>
  <c r="F11" i="3" a="1"/>
  <c r="G11" i="3" a="1"/>
  <c r="H11" i="3" a="1"/>
  <c r="I11" i="3" a="1"/>
  <c r="J11" i="3" a="1"/>
  <c r="K11" i="3" a="1"/>
  <c r="N11" i="3" a="1"/>
  <c r="M11" i="3" a="1"/>
  <c r="L11" i="3" a="1"/>
  <c r="F10" i="3" a="1"/>
  <c r="G10" i="3" a="1"/>
  <c r="H10" i="3" a="1"/>
  <c r="I10" i="3" a="1"/>
  <c r="J10" i="3" a="1"/>
  <c r="K10" i="3" a="1"/>
  <c r="L10" i="3" a="1"/>
  <c r="M10" i="3" a="1"/>
  <c r="N10" i="3" a="1"/>
  <c r="E10" i="3" a="1"/>
  <c r="E9" i="3" a="1"/>
  <c r="F9" i="3" a="1"/>
  <c r="G9" i="3" a="1"/>
  <c r="H9" i="3" a="1"/>
  <c r="I9" i="3" a="1"/>
  <c r="J9" i="3" a="1"/>
  <c r="K9" i="3" a="1"/>
  <c r="L9" i="3" a="1"/>
  <c r="M9" i="3" a="1"/>
  <c r="N9" i="3" a="1"/>
  <c r="J5" i="3"/>
  <c r="J7" i="3"/>
  <c r="K57" i="1" l="1"/>
  <c r="J57" i="1" a="1"/>
  <c r="K77" i="1"/>
  <c r="J77" i="1" a="1"/>
  <c r="K92" i="1"/>
  <c r="J92" i="1" a="1"/>
  <c r="K50" i="1"/>
  <c r="J50" i="1" a="1"/>
  <c r="J36" i="1" a="1"/>
  <c r="K36" i="1"/>
  <c r="J46" i="1" a="1"/>
  <c r="K46" i="1"/>
  <c r="J51" i="1" a="1"/>
  <c r="K51" i="1"/>
  <c r="J53" i="1" a="1"/>
  <c r="K53" i="1"/>
  <c r="J83" i="1" a="1"/>
  <c r="K83" i="1"/>
  <c r="J97" i="1" a="1"/>
  <c r="K97" i="1"/>
  <c r="K38" i="1"/>
  <c r="J38" i="1" a="1"/>
  <c r="K69" i="1"/>
  <c r="J69" i="1" a="1"/>
  <c r="K35" i="1"/>
  <c r="J35" i="1" a="1"/>
  <c r="K49" i="1"/>
  <c r="J49" i="1" a="1"/>
  <c r="K67" i="1"/>
  <c r="J67" i="1" a="1"/>
  <c r="K89" i="1"/>
  <c r="J89" i="1" a="1"/>
  <c r="K106" i="1"/>
  <c r="J106" i="1" a="1"/>
  <c r="K93" i="1"/>
  <c r="J93" i="1" a="1"/>
  <c r="K99" i="1"/>
  <c r="J99" i="1" a="1"/>
  <c r="K81" i="1"/>
  <c r="J81" i="1" a="1"/>
  <c r="K113" i="1"/>
  <c r="J113" i="1" a="1"/>
  <c r="K123" i="1"/>
  <c r="J123" i="1" a="1"/>
  <c r="K37" i="1"/>
  <c r="J37" i="1" a="1"/>
  <c r="K39" i="1"/>
  <c r="J39" i="1" a="1"/>
  <c r="K79" i="1"/>
  <c r="J79" i="1" a="1"/>
  <c r="K78" i="1"/>
  <c r="J78" i="1" a="1"/>
  <c r="K115" i="1"/>
  <c r="J115" i="1" a="1"/>
  <c r="K66" i="1"/>
  <c r="J66" i="1" a="1"/>
  <c r="K103" i="1"/>
  <c r="J103" i="1" a="1"/>
  <c r="K110" i="1"/>
  <c r="J110" i="1" a="1"/>
  <c r="K24" i="1"/>
  <c r="K33" i="1"/>
  <c r="J33" i="1" a="1"/>
  <c r="K80" i="1"/>
  <c r="J80" i="1" a="1"/>
  <c r="K43" i="1"/>
  <c r="J43" i="1" a="1"/>
  <c r="K63" i="1"/>
  <c r="J63" i="1" a="1"/>
  <c r="K76" i="1"/>
  <c r="J76" i="1" a="1"/>
  <c r="K90" i="1"/>
  <c r="J90" i="1" a="1"/>
  <c r="K96" i="1"/>
  <c r="J96" i="1" a="1"/>
  <c r="K98" i="1"/>
  <c r="J98" i="1" a="1"/>
  <c r="K112" i="1"/>
  <c r="J112" i="1" a="1"/>
  <c r="K120" i="1"/>
  <c r="J120" i="1" a="1"/>
  <c r="K34" i="1"/>
  <c r="J34" i="1" a="1"/>
  <c r="K48" i="1"/>
  <c r="J48" i="1" a="1"/>
  <c r="K55" i="1"/>
  <c r="J55" i="1" a="1"/>
  <c r="K65" i="1"/>
  <c r="J65" i="1" a="1"/>
  <c r="K102" i="1"/>
  <c r="J102" i="1" a="1"/>
  <c r="K107" i="1"/>
  <c r="J107" i="1" a="1"/>
  <c r="K62" i="1"/>
  <c r="J62" i="1" a="1"/>
  <c r="K91" i="1"/>
  <c r="J91" i="1" a="1"/>
  <c r="K28" i="1"/>
  <c r="J28" i="1" a="1"/>
  <c r="K56" i="1"/>
  <c r="J56" i="1" a="1"/>
  <c r="K88" i="1"/>
  <c r="J88" i="1" a="1"/>
  <c r="K44" i="1"/>
  <c r="J44" i="1" a="1"/>
  <c r="K86" i="1"/>
  <c r="J86" i="1" a="1"/>
  <c r="K117" i="1"/>
  <c r="J117" i="1" a="1"/>
  <c r="K75" i="1"/>
  <c r="J75" i="1" a="1"/>
  <c r="K84" i="1"/>
  <c r="J84" i="1" a="1"/>
  <c r="K100" i="1"/>
  <c r="J100" i="1" a="1"/>
  <c r="K101" i="1"/>
  <c r="J101" i="1" a="1"/>
  <c r="K105" i="1"/>
  <c r="J105" i="1" a="1"/>
  <c r="K109" i="1"/>
  <c r="J109" i="1" a="1"/>
  <c r="K111" i="1"/>
  <c r="J111" i="1" a="1"/>
  <c r="K119" i="1"/>
  <c r="J119" i="1" a="1"/>
  <c r="K61" i="1"/>
  <c r="J61" i="1" a="1"/>
  <c r="K64" i="1"/>
  <c r="J64" i="1" a="1"/>
  <c r="K73" i="1"/>
  <c r="J73" i="1" a="1"/>
  <c r="K87" i="1"/>
  <c r="J87" i="1" a="1"/>
  <c r="K124" i="1"/>
  <c r="J124" i="1" a="1"/>
  <c r="J40" i="1" a="1"/>
  <c r="K40" i="1"/>
  <c r="J85" i="1" a="1"/>
  <c r="K85" i="1"/>
  <c r="K74" i="1"/>
  <c r="J74" i="1" a="1"/>
  <c r="K104" i="1"/>
  <c r="J104" i="1" a="1"/>
  <c r="K122" i="1"/>
  <c r="J122" i="1" a="1"/>
  <c r="J27" i="1" a="1"/>
  <c r="K27" i="1"/>
  <c r="J29" i="1" a="1"/>
  <c r="K29" i="1"/>
  <c r="J32" i="1" a="1"/>
  <c r="K32" i="1"/>
  <c r="J41" i="1" a="1"/>
  <c r="K41" i="1"/>
  <c r="J45" i="1" a="1"/>
  <c r="K45" i="1"/>
  <c r="J47" i="1" a="1"/>
  <c r="K47" i="1"/>
  <c r="J52" i="1" a="1"/>
  <c r="K52" i="1"/>
  <c r="J54" i="1" a="1"/>
  <c r="K54" i="1"/>
  <c r="J58" i="1" a="1"/>
  <c r="K58" i="1"/>
  <c r="J59" i="1" a="1"/>
  <c r="K59" i="1"/>
  <c r="J68" i="1" a="1"/>
  <c r="K68" i="1"/>
  <c r="J70" i="1" a="1"/>
  <c r="K70" i="1"/>
  <c r="J72" i="1" a="1"/>
  <c r="K72" i="1"/>
  <c r="J94" i="1" a="1"/>
  <c r="K94" i="1"/>
  <c r="J95" i="1" a="1"/>
  <c r="K95" i="1"/>
  <c r="J108" i="1" a="1"/>
  <c r="K108" i="1"/>
  <c r="J118" i="1" a="1"/>
  <c r="K118" i="1"/>
  <c r="J114" i="1" a="1"/>
  <c r="K114" i="1"/>
  <c r="J25" i="1" a="1"/>
  <c r="K25" i="1"/>
  <c r="J26" i="1" a="1"/>
  <c r="K26" i="1"/>
  <c r="J116" i="1" a="1"/>
  <c r="K116" i="1"/>
  <c r="J121" i="1" a="1"/>
  <c r="K121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<sst xmlns="http://schemas.openxmlformats.org/spreadsheetml/2006/main" count="71" uniqueCount="65">
  <si>
    <t>Depth (D):</t>
  </si>
  <si>
    <t>Tubing inner diameter (dti):</t>
  </si>
  <si>
    <t>Oil gravity (API):</t>
  </si>
  <si>
    <t>Production GLR (GLR):</t>
  </si>
  <si>
    <t>Gas specific gravity (gg):</t>
  </si>
  <si>
    <t>Flowing tubing head pressure (phf):</t>
  </si>
  <si>
    <t>Flowing tubing head temperature (thf):</t>
  </si>
  <si>
    <t>Flowing temperature at tubing shoe (twf):</t>
  </si>
  <si>
    <t>Liquid production rate (qL):</t>
  </si>
  <si>
    <t>Water cut (WC):</t>
  </si>
  <si>
    <t>Interfacial tension (s):</t>
  </si>
  <si>
    <t>Specific gravity of water (gw):</t>
  </si>
  <si>
    <t>HagedornBrown(double totalMD,double tubingID,double oilPb,double Rsi,double sGOil,double sGGas,double sGWater,double interfacialTension,double flowingTubingHeadPressure,double flowingTubingHeadTemperature,double flowingBHTemperature,double qLiquid,double qWater,double qGas,int numberOfElements = 100)</t>
  </si>
  <si>
    <t>Gas Rate</t>
  </si>
  <si>
    <t>Oil Pbp</t>
  </si>
  <si>
    <t>Rsi</t>
  </si>
  <si>
    <t>LHOLDUP</t>
  </si>
  <si>
    <t>Water Rate</t>
  </si>
  <si>
    <t>bbl/day</t>
  </si>
  <si>
    <t>psia</t>
  </si>
  <si>
    <t>Pbh_static</t>
  </si>
  <si>
    <t>Depth ft</t>
  </si>
  <si>
    <t>USL ft/s</t>
  </si>
  <si>
    <t>USG ft/s</t>
  </si>
  <si>
    <t>Zwh</t>
  </si>
  <si>
    <t>=HagedornBrown(B2,B3,B16,B15,D4,B6,B18,B17,B7,B8,B9,B10,B13,B14,100)</t>
  </si>
  <si>
    <t>P psi</t>
  </si>
  <si>
    <t>T °F</t>
  </si>
  <si>
    <t>Gas DENSITY LB/FT^3</t>
  </si>
  <si>
    <t>ft</t>
  </si>
  <si>
    <t>in.</t>
  </si>
  <si>
    <t>air =1</t>
  </si>
  <si>
    <t>scf/bbl</t>
  </si>
  <si>
    <t>stb/day</t>
  </si>
  <si>
    <t>°API</t>
  </si>
  <si>
    <t>°F</t>
  </si>
  <si>
    <t>scf/day</t>
  </si>
  <si>
    <t>%</t>
  </si>
  <si>
    <t>dynes/cm</t>
  </si>
  <si>
    <t>H2O=1</t>
  </si>
  <si>
    <t>#Nodes</t>
  </si>
  <si>
    <t>#</t>
  </si>
  <si>
    <t>Ql</t>
  </si>
  <si>
    <t>GVF</t>
  </si>
  <si>
    <t>P</t>
  </si>
  <si>
    <t>T</t>
  </si>
  <si>
    <t>SG Gas</t>
  </si>
  <si>
    <t>Qg</t>
  </si>
  <si>
    <t>GLR</t>
  </si>
  <si>
    <t>Pressure</t>
  </si>
  <si>
    <t>ug_min</t>
  </si>
  <si>
    <t>sGGas</t>
  </si>
  <si>
    <t>°R</t>
  </si>
  <si>
    <t>temperature</t>
  </si>
  <si>
    <t>ID</t>
  </si>
  <si>
    <t>area ft^2</t>
  </si>
  <si>
    <t>qg[scf]</t>
  </si>
  <si>
    <t>psig</t>
  </si>
  <si>
    <t>z</t>
  </si>
  <si>
    <t>Nre</t>
  </si>
  <si>
    <t>f</t>
  </si>
  <si>
    <t>qt[MMscf/day]</t>
  </si>
  <si>
    <t>Zbh</t>
  </si>
  <si>
    <t>Vt [ft/s]</t>
  </si>
  <si>
    <t>Norm(Vg/Vt)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</si>
</sst>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"/>
    <numFmt numFmtId="165" formatCode="0.0000"/>
    <numFmt numFmtId="166" formatCode="0.0%"/>
    <numFmt numFmtId="167" formatCode="0.00000"/>
  </numFmts>
  <fonts count="2" x14ac:knownFonts="1">
    <font>
      <sz val="12"/>
      <color theme="1"/>
      <name val="Cascadia Code"/>
      <family val="2"/>
    </font>
    <font>
      <sz val="12"/>
      <color theme="1"/>
      <name val="Cascadia Cod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2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horizontal="right"/>
    </xf>
    <xf numFmtId="0" fontId="0" fillId="0" borderId="0" xfId="0" quotePrefix="1"/>
    <xf numFmtId="0" fontId="0" fillId="0" borderId="0" xfId="0" applyAlignment="1">
      <alignment vertical="top" wrapText="1"/>
    </xf>
    <xf numFmtId="1" fontId="0" fillId="0" borderId="0" xfId="0" applyNumberFormat="1"/>
    <xf numFmtId="166" fontId="0" fillId="0" borderId="0" xfId="1" applyNumberFormat="1" applyFont="1"/>
    <xf numFmtId="10" fontId="0" fillId="0" borderId="0" xfId="1" applyNumberFormat="1" applyFont="1"/>
    <xf numFmtId="9" fontId="0" fillId="0" borderId="0" xfId="1" applyFont="1"/>
    <xf numFmtId="12" fontId="0" fillId="0" borderId="0" xfId="0" applyNumberFormat="1"/>
    <xf numFmtId="3" fontId="0" fillId="0" borderId="0" xfId="0" applyNumberFormat="1"/>
    <xf numFmtId="3" fontId="0" fillId="0" borderId="0" xfId="0" quotePrefix="1" applyNumberFormat="1"/>
    <xf numFmtId="167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Sheet1!$K$24:$K$123</c:f>
              <c:numCache>
                <c:formatCode>0.00</c:formatCode>
                <c:ptCount val="100"/>
                <c:pt idx="0">
                  <c:v>0.78225319508844637</c:v>
                </c:pt>
                <c:pt idx="1">
                  <c:v>0.79431379299588267</c:v>
                </c:pt>
                <c:pt idx="2">
                  <c:v>0.78260854607193109</c:v>
                </c:pt>
                <c:pt idx="3">
                  <c:v>0.7713391746917192</c:v>
                </c:pt>
                <c:pt idx="4">
                  <c:v>0.7604821060865502</c:v>
                </c:pt>
                <c:pt idx="5">
                  <c:v>0.7500156233697175</c:v>
                </c:pt>
                <c:pt idx="6">
                  <c:v>0.73991968272571385</c:v>
                </c:pt>
                <c:pt idx="7">
                  <c:v>0.73017575189937378</c:v>
                </c:pt>
                <c:pt idx="8">
                  <c:v>0.72076666577923609</c:v>
                </c:pt>
                <c:pt idx="9">
                  <c:v>0.71167649938010713</c:v>
                </c:pt>
                <c:pt idx="10">
                  <c:v>0.70289045310502818</c:v>
                </c:pt>
                <c:pt idx="11">
                  <c:v>0.69439475069296264</c:v>
                </c:pt>
                <c:pt idx="12">
                  <c:v>0.68617654756258861</c:v>
                </c:pt>
                <c:pt idx="13">
                  <c:v>0.67822384842113725</c:v>
                </c:pt>
                <c:pt idx="14">
                  <c:v>0.67052543305183809</c:v>
                </c:pt>
                <c:pt idx="15">
                  <c:v>0.6630707893441119</c:v>
                </c:pt>
                <c:pt idx="16">
                  <c:v>0.6558500527583051</c:v>
                </c:pt>
                <c:pt idx="17">
                  <c:v>0.64885395152532732</c:v>
                </c:pt>
                <c:pt idx="18">
                  <c:v>0.64207375697392155</c:v>
                </c:pt>
                <c:pt idx="19">
                  <c:v>0.6355012384570693</c:v>
                </c:pt>
                <c:pt idx="20">
                  <c:v>0.62912862241619694</c:v>
                </c:pt>
                <c:pt idx="21">
                  <c:v>0.62294855517918302</c:v>
                </c:pt>
                <c:pt idx="22">
                  <c:v>0.61695406913708817</c:v>
                </c:pt>
                <c:pt idx="23">
                  <c:v>0.61113855198625655</c:v>
                </c:pt>
                <c:pt idx="24">
                  <c:v>0.60549571875806452</c:v>
                </c:pt>
                <c:pt idx="25">
                  <c:v>0.60001958638892761</c:v>
                </c:pt>
                <c:pt idx="26">
                  <c:v>0.5947044506090835</c:v>
                </c:pt>
                <c:pt idx="27">
                  <c:v>0.58954486495074343</c:v>
                </c:pt>
                <c:pt idx="28">
                  <c:v>0.58453562169508155</c:v>
                </c:pt>
                <c:pt idx="29">
                  <c:v>0.57967173459369148</c:v>
                </c:pt>
                <c:pt idx="30">
                  <c:v>0.57494842321405615</c:v>
                </c:pt>
                <c:pt idx="31">
                  <c:v>0.57036109877061014</c:v>
                </c:pt>
                <c:pt idx="32">
                  <c:v>0.56590535131349062</c:v>
                </c:pt>
                <c:pt idx="33">
                  <c:v>0.56157693815635235</c:v>
                </c:pt>
                <c:pt idx="34">
                  <c:v>0.55737177343291278</c:v>
                </c:pt>
                <c:pt idx="35">
                  <c:v>0.55328591867939869</c:v>
                </c:pt>
                <c:pt idx="36">
                  <c:v>0.54931557434697986</c:v>
                </c:pt>
                <c:pt idx="37">
                  <c:v>0.54545707215470529</c:v>
                </c:pt>
                <c:pt idx="38">
                  <c:v>0.54170686819953306</c:v>
                </c:pt>
                <c:pt idx="39">
                  <c:v>0.53806153674583912</c:v>
                </c:pt>
                <c:pt idx="40">
                  <c:v>0.53451776462236378</c:v>
                </c:pt>
                <c:pt idx="41">
                  <c:v>0.53107234615992349</c:v>
                </c:pt>
                <c:pt idx="42">
                  <c:v>0.52772217860845394</c:v>
                </c:pt>
                <c:pt idx="43">
                  <c:v>0.5244642579769816</c:v>
                </c:pt>
                <c:pt idx="44">
                  <c:v>0.52129567524502629</c:v>
                </c:pt>
                <c:pt idx="45">
                  <c:v>0.51821361289865542</c:v>
                </c:pt>
                <c:pt idx="46">
                  <c:v>0.5152153417489429</c:v>
                </c:pt>
                <c:pt idx="47">
                  <c:v>0.51229821799490327</c:v>
                </c:pt>
                <c:pt idx="48">
                  <c:v>0.50945968049710255</c:v>
                </c:pt>
                <c:pt idx="49">
                  <c:v>0.50669724823199813</c:v>
                </c:pt>
                <c:pt idx="50">
                  <c:v>0.50400851790070145</c:v>
                </c:pt>
                <c:pt idx="51">
                  <c:v>0.50139116166922293</c:v>
                </c:pt>
                <c:pt idx="52">
                  <c:v>0.49884292502036237</c:v>
                </c:pt>
                <c:pt idx="53">
                  <c:v>0.49636162470024858</c:v>
                </c:pt>
                <c:pt idx="54">
                  <c:v>0.49394520714924128</c:v>
                </c:pt>
                <c:pt idx="55">
                  <c:v>0.49159285912129713</c:v>
                </c:pt>
                <c:pt idx="56">
                  <c:v>0.48929997931217645</c:v>
                </c:pt>
                <c:pt idx="57">
                  <c:v>0.48706477693620925</c:v>
                </c:pt>
                <c:pt idx="58">
                  <c:v>0.48488551409299746</c:v>
                </c:pt>
                <c:pt idx="59">
                  <c:v>0.4827605046181408</c:v>
                </c:pt>
                <c:pt idx="60">
                  <c:v>0.4806881129383111</c:v>
                </c:pt>
                <c:pt idx="61">
                  <c:v>0.47866675292885752</c:v>
                </c:pt>
                <c:pt idx="62">
                  <c:v>0.47669488677294508</c:v>
                </c:pt>
                <c:pt idx="63">
                  <c:v>0.4747710238218536</c:v>
                </c:pt>
                <c:pt idx="64">
                  <c:v>0.47289371945661801</c:v>
                </c:pt>
                <c:pt idx="65">
                  <c:v>0.47106157395160941</c:v>
                </c:pt>
                <c:pt idx="66">
                  <c:v>0.46927323134099147</c:v>
                </c:pt>
                <c:pt idx="67">
                  <c:v>0.46752737828922097</c:v>
                </c:pt>
                <c:pt idx="68">
                  <c:v>0.46582274296695692</c:v>
                </c:pt>
                <c:pt idx="69">
                  <c:v>0.46415809393382973</c:v>
                </c:pt>
                <c:pt idx="70">
                  <c:v>0.46253223902959811</c:v>
                </c:pt>
                <c:pt idx="71">
                  <c:v>0.46094402427522946</c:v>
                </c:pt>
                <c:pt idx="72">
                  <c:v>0.45939233278541342</c:v>
                </c:pt>
                <c:pt idx="73">
                  <c:v>0.45787608369398408</c:v>
                </c:pt>
                <c:pt idx="74">
                  <c:v>0.45639423109362914</c:v>
                </c:pt>
                <c:pt idx="75">
                  <c:v>0.4549457629912001</c:v>
                </c:pt>
                <c:pt idx="76">
                  <c:v>0.45352970027981526</c:v>
                </c:pt>
                <c:pt idx="77">
                  <c:v>0.45214509572884759</c:v>
                </c:pt>
                <c:pt idx="78">
                  <c:v>0.45079103299277379</c:v>
                </c:pt>
                <c:pt idx="79">
                  <c:v>0.44946662563973044</c:v>
                </c:pt>
                <c:pt idx="80">
                  <c:v>0.44817101620052724</c:v>
                </c:pt>
                <c:pt idx="81">
                  <c:v>0.44690337523873219</c:v>
                </c:pt>
                <c:pt idx="82">
                  <c:v>0.44566290044233903</c:v>
                </c:pt>
                <c:pt idx="83">
                  <c:v>0.44444881573742595</c:v>
                </c:pt>
                <c:pt idx="84">
                  <c:v>0.44326037043545363</c:v>
                </c:pt>
                <c:pt idx="85">
                  <c:v>0.44209683832136998</c:v>
                </c:pt>
                <c:pt idx="86">
                  <c:v>0.44095751700760616</c:v>
                </c:pt>
                <c:pt idx="87">
                  <c:v>0.43984172692579931</c:v>
                </c:pt>
                <c:pt idx="88">
                  <c:v>0.43874881068344929</c:v>
                </c:pt>
                <c:pt idx="89">
                  <c:v>0.43767813228033003</c:v>
                </c:pt>
                <c:pt idx="90">
                  <c:v>0.43662907637970111</c:v>
                </c:pt>
                <c:pt idx="91">
                  <c:v>0.43560104760162771</c:v>
                </c:pt>
                <c:pt idx="92">
                  <c:v>0.43459346983814495</c:v>
                </c:pt>
                <c:pt idx="93">
                  <c:v>0.43360578558994978</c:v>
                </c:pt>
                <c:pt idx="94">
                  <c:v>0.43263745532427061</c:v>
                </c:pt>
                <c:pt idx="95">
                  <c:v>0.43168795685353128</c:v>
                </c:pt>
                <c:pt idx="96">
                  <c:v>0.43075678473440049</c:v>
                </c:pt>
                <c:pt idx="97">
                  <c:v>0.42984344968679294</c:v>
                </c:pt>
                <c:pt idx="98">
                  <c:v>0.42894747803237182</c:v>
                </c:pt>
                <c:pt idx="99">
                  <c:v>0.42806841115208277</c:v>
                </c:pt>
              </c:numCache>
            </c:numRef>
          </c:xVal>
          <c:yVal>
            <c:numRef>
              <c:f>Sheet1!$F$24:$F$123</c:f>
              <c:numCache>
                <c:formatCode>0.00</c:formatCode>
                <c:ptCount val="100"/>
                <c:pt idx="0">
                  <c:v>0.50726137203171839</c:v>
                </c:pt>
                <c:pt idx="1">
                  <c:v>0.50726137203171839</c:v>
                </c:pt>
                <c:pt idx="2">
                  <c:v>0.51022349965184699</c:v>
                </c:pt>
                <c:pt idx="3">
                  <c:v>0.51312447800042804</c:v>
                </c:pt>
                <c:pt idx="4">
                  <c:v>0.51596663243495666</c:v>
                </c:pt>
                <c:pt idx="5">
                  <c:v>0.51875212566193263</c:v>
                </c:pt>
                <c:pt idx="6">
                  <c:v>0.52148297051844772</c:v>
                </c:pt>
                <c:pt idx="7">
                  <c:v>0.52416104169768307</c:v>
                </c:pt>
                <c:pt idx="8">
                  <c:v>0.5267880866402469</c:v>
                </c:pt>
                <c:pt idx="9">
                  <c:v>0.52936573544054066</c:v>
                </c:pt>
                <c:pt idx="10">
                  <c:v>0.53189551022166903</c:v>
                </c:pt>
                <c:pt idx="11">
                  <c:v>0.53437883376782569</c:v>
                </c:pt>
                <c:pt idx="12">
                  <c:v>0.53681703760278876</c:v>
                </c:pt>
                <c:pt idx="13">
                  <c:v>0.53921136954807058</c:v>
                </c:pt>
                <c:pt idx="14">
                  <c:v>0.54156300080722108</c:v>
                </c:pt>
                <c:pt idx="15">
                  <c:v>0.54387303261497966</c:v>
                </c:pt>
                <c:pt idx="16">
                  <c:v>0.54614250248310359</c:v>
                </c:pt>
                <c:pt idx="17">
                  <c:v>0.54837239006889682</c:v>
                </c:pt>
                <c:pt idx="18">
                  <c:v>0.55056362268738912</c:v>
                </c:pt>
                <c:pt idx="19">
                  <c:v>0.5527170804838889</c:v>
                </c:pt>
                <c:pt idx="20">
                  <c:v>0.55483360128013814</c:v>
                </c:pt>
                <c:pt idx="21">
                  <c:v>0.55691398510444468</c:v>
                </c:pt>
                <c:pt idx="22">
                  <c:v>0.55895899841402052</c:v>
                </c:pt>
                <c:pt idx="23">
                  <c:v>0.560969378016139</c:v>
                </c:pt>
                <c:pt idx="24">
                  <c:v>0.56294583469367521</c:v>
                </c:pt>
                <c:pt idx="25">
                  <c:v>0.56488905654003096</c:v>
                </c:pt>
                <c:pt idx="26">
                  <c:v>0.56679971200833568</c:v>
                </c:pt>
                <c:pt idx="27">
                  <c:v>0.5686784526800267</c:v>
                </c:pt>
                <c:pt idx="28">
                  <c:v>0.57052591575852285</c:v>
                </c:pt>
                <c:pt idx="29">
                  <c:v>0.57234272629446847</c:v>
                </c:pt>
                <c:pt idx="30">
                  <c:v>0.57412949915004485</c:v>
                </c:pt>
                <c:pt idx="31">
                  <c:v>0.57588684071096596</c:v>
                </c:pt>
                <c:pt idx="32">
                  <c:v>0.57761535035590272</c:v>
                </c:pt>
                <c:pt idx="33">
                  <c:v>0.57931562169432904</c:v>
                </c:pt>
                <c:pt idx="34">
                  <c:v>0.58098824358482404</c:v>
                </c:pt>
                <c:pt idx="35">
                  <c:v>0.58263380094694539</c:v>
                </c:pt>
                <c:pt idx="36">
                  <c:v>0.58425287538065396</c:v>
                </c:pt>
                <c:pt idx="37">
                  <c:v>0.58584604560800613</c:v>
                </c:pt>
                <c:pt idx="38">
                  <c:v>0.58741388775235392</c:v>
                </c:pt>
                <c:pt idx="39">
                  <c:v>0.58895697547067749</c:v>
                </c:pt>
                <c:pt idx="40">
                  <c:v>0.59047587995474371</c:v>
                </c:pt>
                <c:pt idx="41">
                  <c:v>0.5919711698168062</c:v>
                </c:pt>
                <c:pt idx="42">
                  <c:v>0.59344341087524666</c:v>
                </c:pt>
                <c:pt idx="43">
                  <c:v>0.59489316585517305</c:v>
                </c:pt>
                <c:pt idx="44">
                  <c:v>0.59632099401836014</c:v>
                </c:pt>
                <c:pt idx="45">
                  <c:v>0.59772745073626488</c:v>
                </c:pt>
                <c:pt idx="46">
                  <c:v>0.59911308701890753</c:v>
                </c:pt>
                <c:pt idx="47">
                  <c:v>0.60047844901161629</c:v>
                </c:pt>
                <c:pt idx="48">
                  <c:v>0.60182407747052369</c:v>
                </c:pt>
                <c:pt idx="49">
                  <c:v>0.603150507226764</c:v>
                </c:pt>
                <c:pt idx="50">
                  <c:v>0.60445826664821389</c:v>
                </c:pt>
                <c:pt idx="51">
                  <c:v>0.6057478771066136</c:v>
                </c:pt>
                <c:pt idx="52">
                  <c:v>0.60701985245684986</c:v>
                </c:pt>
                <c:pt idx="53">
                  <c:v>0.60827469853421567</c:v>
                </c:pt>
                <c:pt idx="54">
                  <c:v>0.60952352645804309</c:v>
                </c:pt>
                <c:pt idx="55">
                  <c:v>0.61099672867153554</c:v>
                </c:pt>
                <c:pt idx="56">
                  <c:v>0.61244348508615509</c:v>
                </c:pt>
                <c:pt idx="57">
                  <c:v>0.61386432392977719</c:v>
                </c:pt>
                <c:pt idx="58">
                  <c:v>0.61525976942822846</c:v>
                </c:pt>
                <c:pt idx="59">
                  <c:v>0.61663034125588179</c:v>
                </c:pt>
                <c:pt idx="60">
                  <c:v>0.61797655402562268</c:v>
                </c:pt>
                <c:pt idx="61">
                  <c:v>0.61929891681869031</c:v>
                </c:pt>
                <c:pt idx="62">
                  <c:v>0.62059793275446562</c:v>
                </c:pt>
                <c:pt idx="63">
                  <c:v>0.62187409859982457</c:v>
                </c:pt>
                <c:pt idx="64">
                  <c:v>0.62312790441741217</c:v>
                </c:pt>
                <c:pt idx="65">
                  <c:v>0.62435983325182864</c:v>
                </c:pt>
                <c:pt idx="66">
                  <c:v>0.62557036085255058</c:v>
                </c:pt>
                <c:pt idx="67">
                  <c:v>0.626759955432173</c:v>
                </c:pt>
                <c:pt idx="68">
                  <c:v>0.62792907745843507</c:v>
                </c:pt>
                <c:pt idx="69">
                  <c:v>0.62907817947838407</c:v>
                </c:pt>
                <c:pt idx="70">
                  <c:v>0.63020770597292297</c:v>
                </c:pt>
                <c:pt idx="71">
                  <c:v>0.63131809323998433</c:v>
                </c:pt>
                <c:pt idx="72">
                  <c:v>0.63240976930450477</c:v>
                </c:pt>
                <c:pt idx="73">
                  <c:v>0.63348315385342269</c:v>
                </c:pt>
                <c:pt idx="74">
                  <c:v>0.63453865819387711</c:v>
                </c:pt>
                <c:pt idx="75">
                  <c:v>0.6355766852328848</c:v>
                </c:pt>
                <c:pt idx="76">
                  <c:v>0.63659762947676346</c:v>
                </c:pt>
                <c:pt idx="77">
                  <c:v>0.63760187704865501</c:v>
                </c:pt>
                <c:pt idx="78">
                  <c:v>0.6385898057225633</c:v>
                </c:pt>
                <c:pt idx="79">
                  <c:v>0.63956178497236549</c:v>
                </c:pt>
                <c:pt idx="80">
                  <c:v>0.6405181760343821</c:v>
                </c:pt>
                <c:pt idx="81">
                  <c:v>0.64145933198208493</c:v>
                </c:pt>
                <c:pt idx="82">
                  <c:v>0.6423855978117029</c:v>
                </c:pt>
                <c:pt idx="83">
                  <c:v>0.64329731053746075</c:v>
                </c:pt>
                <c:pt idx="84">
                  <c:v>0.64419479929534373</c:v>
                </c:pt>
                <c:pt idx="85">
                  <c:v>0.6450783854602874</c:v>
                </c:pt>
                <c:pt idx="86">
                  <c:v>0.64594838273767508</c:v>
                </c:pt>
                <c:pt idx="87">
                  <c:v>0.64680509733002611</c:v>
                </c:pt>
                <c:pt idx="88">
                  <c:v>0.64764882803236645</c:v>
                </c:pt>
                <c:pt idx="89">
                  <c:v>0.64847986637343535</c:v>
                </c:pt>
                <c:pt idx="90">
                  <c:v>0.64929849675070783</c:v>
                </c:pt>
                <c:pt idx="91">
                  <c:v>0.65010499656799847</c:v>
                </c:pt>
                <c:pt idx="92">
                  <c:v>0.65089963637498971</c:v>
                </c:pt>
                <c:pt idx="93">
                  <c:v>0.65168268000816809</c:v>
                </c:pt>
                <c:pt idx="94">
                  <c:v>0.65245438473269257</c:v>
                </c:pt>
                <c:pt idx="95">
                  <c:v>0.653215001384711</c:v>
                </c:pt>
                <c:pt idx="96">
                  <c:v>0.65396477451373436</c:v>
                </c:pt>
                <c:pt idx="97">
                  <c:v>0.65470394252472441</c:v>
                </c:pt>
                <c:pt idx="98">
                  <c:v>0.65543273781953293</c:v>
                </c:pt>
                <c:pt idx="99">
                  <c:v>0.65615138693744557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3BB-4B6E-91B1-1DCB14E7B5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3199951"/>
        <c:axId val="583200431"/>
      </c:scatterChart>
      <c:valAx>
        <c:axId val="583199951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strRef>
              <c:f>Sheet1!$K$23</c:f>
              <c:strCache>
                <c:ptCount val="1"/>
                <c:pt idx="0">
                  <c:v>Norm(Vg/Vt)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3200431"/>
        <c:crosses val="autoZero"/>
        <c:crossBetween val="midCat"/>
      </c:valAx>
      <c:valAx>
        <c:axId val="583200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strRef>
              <c:f>Sheet1!$F$23</c:f>
              <c:strCache>
                <c:ptCount val="1"/>
                <c:pt idx="0">
                  <c:v>LHOLDUP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31999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Sheet1!$C$24:$C$124</c:f>
              <c:numCache>
                <c:formatCode>#,##0.0</c:formatCode>
                <c:ptCount val="101"/>
                <c:pt idx="0">
                  <c:v>800</c:v>
                </c:pt>
                <c:pt idx="1">
                  <c:v>822.4180509745604</c:v>
                </c:pt>
                <c:pt idx="2">
                  <c:v>844.94865213359549</c:v>
                </c:pt>
                <c:pt idx="3">
                  <c:v>867.59001575243099</c:v>
                </c:pt>
                <c:pt idx="4">
                  <c:v>890.3404085736629</c:v>
                </c:pt>
                <c:pt idx="5">
                  <c:v>913.19814762750946</c:v>
                </c:pt>
                <c:pt idx="6">
                  <c:v>936.16159633490679</c:v>
                </c:pt>
                <c:pt idx="7">
                  <c:v>959.22916087680119</c:v>
                </c:pt>
                <c:pt idx="8">
                  <c:v>982.39928681876233</c:v>
                </c:pt>
                <c:pt idx="9">
                  <c:v>1005.6704559718401</c:v>
                </c:pt>
                <c:pt idx="10">
                  <c:v>1029.0411834858746</c:v>
                </c:pt>
                <c:pt idx="11">
                  <c:v>1052.5100151615979</c:v>
                </c:pt>
                <c:pt idx="12">
                  <c:v>1076.0755249735198</c:v>
                </c:pt>
                <c:pt idx="13">
                  <c:v>1099.7363127955164</c:v>
                </c:pt>
                <c:pt idx="14">
                  <c:v>1123.4910023216175</c:v>
                </c:pt>
                <c:pt idx="15">
                  <c:v>1147.3382391749094</c:v>
                </c:pt>
                <c:pt idx="16">
                  <c:v>1171.2766891977333</c:v>
                </c:pt>
                <c:pt idx="17">
                  <c:v>1195.3050369165062</c:v>
                </c:pt>
                <c:pt idx="18">
                  <c:v>1219.4219841745082</c:v>
                </c:pt>
                <c:pt idx="19">
                  <c:v>1243.6262489259134</c:v>
                </c:pt>
                <c:pt idx="20">
                  <c:v>1267.9165641841867</c:v>
                </c:pt>
                <c:pt idx="21">
                  <c:v>1292.2916771177604</c:v>
                </c:pt>
                <c:pt idx="22">
                  <c:v>1316.7503482856459</c:v>
                </c:pt>
                <c:pt idx="23">
                  <c:v>1341.2913510053584</c:v>
                </c:pt>
                <c:pt idx="24">
                  <c:v>1365.913470845243</c:v>
                </c:pt>
                <c:pt idx="25">
                  <c:v>1390.6155052330146</c:v>
                </c:pt>
                <c:pt idx="26">
                  <c:v>1415.396263172064</c:v>
                </c:pt>
                <c:pt idx="27">
                  <c:v>1440.2545650568698</c:v>
                </c:pt>
                <c:pt idx="28">
                  <c:v>1465.1892425786868</c:v>
                </c:pt>
                <c:pt idx="29">
                  <c:v>1490.1991387125734</c:v>
                </c:pt>
                <c:pt idx="30">
                  <c:v>1515.283107776776</c:v>
                </c:pt>
                <c:pt idx="31">
                  <c:v>1540.4400155555254</c:v>
                </c:pt>
                <c:pt idx="32">
                  <c:v>1565.6687394763978</c:v>
                </c:pt>
                <c:pt idx="33">
                  <c:v>1590.9681688335772</c:v>
                </c:pt>
                <c:pt idx="34">
                  <c:v>1616.3372050486059</c:v>
                </c:pt>
                <c:pt idx="35">
                  <c:v>1641.7747619605336</c:v>
                </c:pt>
                <c:pt idx="36">
                  <c:v>1667.2797661377565</c:v>
                </c:pt>
                <c:pt idx="37">
                  <c:v>1692.8511572042814</c:v>
                </c:pt>
                <c:pt idx="38">
                  <c:v>1718.4878881736329</c:v>
                </c:pt>
                <c:pt idx="39">
                  <c:v>1744.1889257841519</c:v>
                </c:pt>
                <c:pt idx="40">
                  <c:v>1769.9532508299867</c:v>
                </c:pt>
                <c:pt idx="41">
                  <c:v>1795.7798584826487</c:v>
                </c:pt>
                <c:pt idx="42">
                  <c:v>1821.6677585985922</c:v>
                </c:pt>
                <c:pt idx="43">
                  <c:v>1847.6159760088574</c:v>
                </c:pt>
                <c:pt idx="44">
                  <c:v>1873.6235507873951</c:v>
                </c:pt>
                <c:pt idx="45">
                  <c:v>1899.6895384952463</c:v>
                </c:pt>
                <c:pt idx="46">
                  <c:v>1925.813010398294</c:v>
                </c:pt>
                <c:pt idx="47">
                  <c:v>1951.9930536568093</c:v>
                </c:pt>
                <c:pt idx="48">
                  <c:v>1978.2287714854967</c:v>
                </c:pt>
                <c:pt idx="49">
                  <c:v>2004.5192832831838</c:v>
                </c:pt>
                <c:pt idx="50">
                  <c:v>2030.863724731702</c:v>
                </c:pt>
                <c:pt idx="51">
                  <c:v>2057.2612478638798</c:v>
                </c:pt>
                <c:pt idx="52">
                  <c:v>2083.7110211008853</c:v>
                </c:pt>
                <c:pt idx="53">
                  <c:v>2110.212229259444</c:v>
                </c:pt>
                <c:pt idx="54">
                  <c:v>2136.7645400493329</c:v>
                </c:pt>
                <c:pt idx="55">
                  <c:v>2163.377829838375</c:v>
                </c:pt>
                <c:pt idx="56">
                  <c:v>2190.0510240322265</c:v>
                </c:pt>
                <c:pt idx="57">
                  <c:v>2216.7830662072924</c:v>
                </c:pt>
                <c:pt idx="58">
                  <c:v>2243.5729181809966</c:v>
                </c:pt>
                <c:pt idx="59">
                  <c:v>2270.4195600487819</c:v>
                </c:pt>
                <c:pt idx="60">
                  <c:v>2297.3219901896587</c:v>
                </c:pt>
                <c:pt idx="61">
                  <c:v>2324.2792252421618</c:v>
                </c:pt>
                <c:pt idx="62">
                  <c:v>2351.2903000526053</c:v>
                </c:pt>
                <c:pt idx="63">
                  <c:v>2378.354267597525</c:v>
                </c:pt>
                <c:pt idx="64">
                  <c:v>2405.4701988821957</c:v>
                </c:pt>
                <c:pt idx="65">
                  <c:v>2432.6371828170695</c:v>
                </c:pt>
                <c:pt idx="66">
                  <c:v>2459.8543260739566</c:v>
                </c:pt>
                <c:pt idx="67">
                  <c:v>2487.1207529237095</c:v>
                </c:pt>
                <c:pt idx="68">
                  <c:v>2514.4356050571205</c:v>
                </c:pt>
                <c:pt idx="69">
                  <c:v>2541.7980413906721</c:v>
                </c:pt>
                <c:pt idx="70">
                  <c:v>2569.2072378587118</c:v>
                </c:pt>
                <c:pt idx="71">
                  <c:v>2596.662387193549</c:v>
                </c:pt>
                <c:pt idx="72">
                  <c:v>2624.1626986948954</c:v>
                </c:pt>
                <c:pt idx="73">
                  <c:v>2651.7073979899874</c:v>
                </c:pt>
                <c:pt idx="74">
                  <c:v>2679.2957267856564</c:v>
                </c:pt>
                <c:pt idx="75">
                  <c:v>2706.926942613532</c:v>
                </c:pt>
                <c:pt idx="76">
                  <c:v>2734.6003185694835</c:v>
                </c:pt>
                <c:pt idx="77">
                  <c:v>2762.3151430483308</c:v>
                </c:pt>
                <c:pt idx="78">
                  <c:v>2790.0707194747833</c:v>
                </c:pt>
                <c:pt idx="79">
                  <c:v>2817.8663660314928</c:v>
                </c:pt>
                <c:pt idx="80">
                  <c:v>2845.7014153850328</c:v>
                </c:pt>
                <c:pt idx="81">
                  <c:v>2873.5752144105618</c:v>
                </c:pt>
                <c:pt idx="82">
                  <c:v>2901.4871239158515</c:v>
                </c:pt>
                <c:pt idx="83">
                  <c:v>2929.4365183653126</c:v>
                </c:pt>
                <c:pt idx="84">
                  <c:v>2957.4227856045864</c:v>
                </c:pt>
                <c:pt idx="85">
                  <c:v>2985.4453265864909</c:v>
                </c:pt>
                <c:pt idx="86">
                  <c:v>3013.503555097343</c:v>
                </c:pt>
                <c:pt idx="87">
                  <c:v>3041.5968974872062</c:v>
                </c:pt>
                <c:pt idx="88">
                  <c:v>3069.7247924010253</c:v>
                </c:pt>
                <c:pt idx="89">
                  <c:v>3097.8866905128675</c:v>
                </c:pt>
                <c:pt idx="90">
                  <c:v>3126.0820542631445</c:v>
                </c:pt>
                <c:pt idx="91">
                  <c:v>3154.3103575990776</c:v>
                </c:pt>
                <c:pt idx="92">
                  <c:v>3182.5710857186368</c:v>
                </c:pt>
                <c:pt idx="93">
                  <c:v>3210.8637348181487</c:v>
                </c:pt>
                <c:pt idx="94">
                  <c:v>3239.1878118437503</c:v>
                </c:pt>
                <c:pt idx="95">
                  <c:v>3267.5428342468267</c:v>
                </c:pt>
                <c:pt idx="96">
                  <c:v>3295.92832974356</c:v>
                </c:pt>
                <c:pt idx="97">
                  <c:v>3324.3438360786854</c:v>
                </c:pt>
                <c:pt idx="98">
                  <c:v>3352.7889007935387</c:v>
                </c:pt>
                <c:pt idx="99">
                  <c:v>3381.2630809984521</c:v>
                </c:pt>
                <c:pt idx="100">
                  <c:v>3409.7659431495499</c:v>
                </c:pt>
              </c:numCache>
            </c:numRef>
          </c:xVal>
          <c:yVal>
            <c:numRef>
              <c:f>Sheet1!$B$24:$B$124</c:f>
              <c:numCache>
                <c:formatCode>#,##0.0</c:formatCode>
                <c:ptCount val="101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  <c:pt idx="31">
                  <c:v>3100</c:v>
                </c:pt>
                <c:pt idx="32">
                  <c:v>3200</c:v>
                </c:pt>
                <c:pt idx="33">
                  <c:v>3300</c:v>
                </c:pt>
                <c:pt idx="34">
                  <c:v>3400</c:v>
                </c:pt>
                <c:pt idx="35">
                  <c:v>3500</c:v>
                </c:pt>
                <c:pt idx="36">
                  <c:v>3600</c:v>
                </c:pt>
                <c:pt idx="37">
                  <c:v>3700</c:v>
                </c:pt>
                <c:pt idx="38">
                  <c:v>3800</c:v>
                </c:pt>
                <c:pt idx="39">
                  <c:v>3900</c:v>
                </c:pt>
                <c:pt idx="40">
                  <c:v>4000</c:v>
                </c:pt>
                <c:pt idx="41">
                  <c:v>4100</c:v>
                </c:pt>
                <c:pt idx="42">
                  <c:v>4200</c:v>
                </c:pt>
                <c:pt idx="43">
                  <c:v>4300</c:v>
                </c:pt>
                <c:pt idx="44">
                  <c:v>4400</c:v>
                </c:pt>
                <c:pt idx="45">
                  <c:v>4500</c:v>
                </c:pt>
                <c:pt idx="46">
                  <c:v>4600</c:v>
                </c:pt>
                <c:pt idx="47">
                  <c:v>4700</c:v>
                </c:pt>
                <c:pt idx="48">
                  <c:v>4800</c:v>
                </c:pt>
                <c:pt idx="49">
                  <c:v>4900</c:v>
                </c:pt>
                <c:pt idx="50">
                  <c:v>5000</c:v>
                </c:pt>
                <c:pt idx="51">
                  <c:v>5100</c:v>
                </c:pt>
                <c:pt idx="52">
                  <c:v>5200</c:v>
                </c:pt>
                <c:pt idx="53">
                  <c:v>5300</c:v>
                </c:pt>
                <c:pt idx="54">
                  <c:v>5400</c:v>
                </c:pt>
                <c:pt idx="55">
                  <c:v>5500</c:v>
                </c:pt>
                <c:pt idx="56">
                  <c:v>5600</c:v>
                </c:pt>
                <c:pt idx="57">
                  <c:v>5700</c:v>
                </c:pt>
                <c:pt idx="58">
                  <c:v>5800</c:v>
                </c:pt>
                <c:pt idx="59">
                  <c:v>5900</c:v>
                </c:pt>
                <c:pt idx="60">
                  <c:v>6000</c:v>
                </c:pt>
                <c:pt idx="61">
                  <c:v>6100</c:v>
                </c:pt>
                <c:pt idx="62">
                  <c:v>6200</c:v>
                </c:pt>
                <c:pt idx="63">
                  <c:v>6300</c:v>
                </c:pt>
                <c:pt idx="64">
                  <c:v>6400</c:v>
                </c:pt>
                <c:pt idx="65">
                  <c:v>6500</c:v>
                </c:pt>
                <c:pt idx="66">
                  <c:v>6600</c:v>
                </c:pt>
                <c:pt idx="67">
                  <c:v>6700</c:v>
                </c:pt>
                <c:pt idx="68">
                  <c:v>6800</c:v>
                </c:pt>
                <c:pt idx="69">
                  <c:v>6900</c:v>
                </c:pt>
                <c:pt idx="70">
                  <c:v>7000</c:v>
                </c:pt>
                <c:pt idx="71">
                  <c:v>7100</c:v>
                </c:pt>
                <c:pt idx="72">
                  <c:v>7200</c:v>
                </c:pt>
                <c:pt idx="73">
                  <c:v>7300</c:v>
                </c:pt>
                <c:pt idx="74">
                  <c:v>7400</c:v>
                </c:pt>
                <c:pt idx="75">
                  <c:v>7500</c:v>
                </c:pt>
                <c:pt idx="76">
                  <c:v>7600</c:v>
                </c:pt>
                <c:pt idx="77">
                  <c:v>7700</c:v>
                </c:pt>
                <c:pt idx="78">
                  <c:v>7800</c:v>
                </c:pt>
                <c:pt idx="79">
                  <c:v>7900</c:v>
                </c:pt>
                <c:pt idx="80">
                  <c:v>8000</c:v>
                </c:pt>
                <c:pt idx="81">
                  <c:v>8100</c:v>
                </c:pt>
                <c:pt idx="82">
                  <c:v>8200</c:v>
                </c:pt>
                <c:pt idx="83">
                  <c:v>8300</c:v>
                </c:pt>
                <c:pt idx="84">
                  <c:v>8400</c:v>
                </c:pt>
                <c:pt idx="85">
                  <c:v>8500</c:v>
                </c:pt>
                <c:pt idx="86">
                  <c:v>8600</c:v>
                </c:pt>
                <c:pt idx="87">
                  <c:v>8700</c:v>
                </c:pt>
                <c:pt idx="88">
                  <c:v>8800</c:v>
                </c:pt>
                <c:pt idx="89">
                  <c:v>8900</c:v>
                </c:pt>
                <c:pt idx="90">
                  <c:v>9000</c:v>
                </c:pt>
                <c:pt idx="91">
                  <c:v>9100</c:v>
                </c:pt>
                <c:pt idx="92">
                  <c:v>9200</c:v>
                </c:pt>
                <c:pt idx="93">
                  <c:v>9300</c:v>
                </c:pt>
                <c:pt idx="94">
                  <c:v>9400</c:v>
                </c:pt>
                <c:pt idx="95">
                  <c:v>9500</c:v>
                </c:pt>
                <c:pt idx="96">
                  <c:v>9600</c:v>
                </c:pt>
                <c:pt idx="97">
                  <c:v>9700</c:v>
                </c:pt>
                <c:pt idx="98">
                  <c:v>9800</c:v>
                </c:pt>
                <c:pt idx="99">
                  <c:v>9900</c:v>
                </c:pt>
                <c:pt idx="100">
                  <c:v>10000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FAE-44EB-ADCE-7294449E11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7506912"/>
        <c:axId val="1907504512"/>
      </c:scatterChart>
      <c:valAx>
        <c:axId val="1907506912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strRef>
              <c:f>Sheet1!$C$23</c:f>
              <c:strCache>
                <c:ptCount val="1"/>
                <c:pt idx="0">
                  <c:v>P psi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7504512"/>
        <c:crosses val="autoZero"/>
        <c:crossBetween val="midCat"/>
      </c:valAx>
      <c:valAx>
        <c:axId val="1907504512"/>
        <c:scaling>
          <c:orientation val="maxMin"/>
          <c:max val="1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strRef>
              <c:f>Sheet1!$B$23</c:f>
              <c:strCache>
                <c:ptCount val="1"/>
                <c:pt idx="0">
                  <c:v>Depth ft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75069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1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Sheet1!$H$24:$H$124</c:f>
              <c:numCache>
                <c:formatCode>0.00</c:formatCode>
                <c:ptCount val="101"/>
                <c:pt idx="0">
                  <c:v>6.869782050124762</c:v>
                </c:pt>
                <c:pt idx="1">
                  <c:v>6.869782050124762</c:v>
                </c:pt>
                <c:pt idx="2">
                  <c:v>6.6679282773582225</c:v>
                </c:pt>
                <c:pt idx="3">
                  <c:v>6.4762317303954893</c:v>
                </c:pt>
                <c:pt idx="4">
                  <c:v>6.2940059032538445</c:v>
                </c:pt>
                <c:pt idx="5">
                  <c:v>6.1206249901889462</c:v>
                </c:pt>
                <c:pt idx="6">
                  <c:v>5.9555173399848345</c:v>
                </c:pt>
                <c:pt idx="7">
                  <c:v>5.7981597300384387</c:v>
                </c:pt>
                <c:pt idx="8">
                  <c:v>5.6480723387057523</c:v>
                </c:pt>
                <c:pt idx="9">
                  <c:v>5.5048143300555674</c:v>
                </c:pt>
                <c:pt idx="10">
                  <c:v>5.3679799508322157</c:v>
                </c:pt>
                <c:pt idx="11">
                  <c:v>5.2371950835603416</c:v>
                </c:pt>
                <c:pt idx="12">
                  <c:v>5.1121141903963849</c:v>
                </c:pt>
                <c:pt idx="13">
                  <c:v>4.9924175982047307</c:v>
                </c:pt>
                <c:pt idx="14">
                  <c:v>4.877809081645073</c:v>
                </c:pt>
                <c:pt idx="15">
                  <c:v>4.7680137072508399</c:v>
                </c:pt>
                <c:pt idx="16">
                  <c:v>4.6627759066901602</c:v>
                </c:pt>
                <c:pt idx="17">
                  <c:v>4.5618577517999528</c:v>
                </c:pt>
                <c:pt idx="18">
                  <c:v>4.4650374077063022</c:v>
                </c:pt>
                <c:pt idx="19">
                  <c:v>4.3721077435030029</c:v>
                </c:pt>
                <c:pt idx="20">
                  <c:v>4.2828750826467319</c:v>
                </c:pt>
                <c:pt idx="21">
                  <c:v>4.1971580775178445</c:v>
                </c:pt>
                <c:pt idx="22">
                  <c:v>4.1147866945531</c:v>
                </c:pt>
                <c:pt idx="23">
                  <c:v>4.0356012980329776</c:v>
                </c:pt>
                <c:pt idx="24">
                  <c:v>3.9594518220455024</c:v>
                </c:pt>
                <c:pt idx="25">
                  <c:v>3.8861970213869101</c:v>
                </c:pt>
                <c:pt idx="26">
                  <c:v>3.8157037932280096</c:v>
                </c:pt>
                <c:pt idx="27">
                  <c:v>3.7478465622995207</c:v>
                </c:pt>
                <c:pt idx="28">
                  <c:v>3.6825067231517838</c:v>
                </c:pt>
                <c:pt idx="29">
                  <c:v>3.6195721337425684</c:v>
                </c:pt>
                <c:pt idx="30">
                  <c:v>3.5589366552168711</c:v>
                </c:pt>
                <c:pt idx="31">
                  <c:v>3.5004997332776804</c:v>
                </c:pt>
                <c:pt idx="32">
                  <c:v>3.4441660170179609</c:v>
                </c:pt>
                <c:pt idx="33">
                  <c:v>3.3898450115009506</c:v>
                </c:pt>
                <c:pt idx="34">
                  <c:v>3.337450760746103</c:v>
                </c:pt>
                <c:pt idx="35">
                  <c:v>3.2869015581083381</c:v>
                </c:pt>
                <c:pt idx="36">
                  <c:v>3.2381196813342616</c:v>
                </c:pt>
                <c:pt idx="37">
                  <c:v>3.1910311498451511</c:v>
                </c:pt>
                <c:pt idx="38">
                  <c:v>3.1455655020368072</c:v>
                </c:pt>
                <c:pt idx="39">
                  <c:v>3.1016555906038059</c:v>
                </c:pt>
                <c:pt idx="40">
                  <c:v>3.0592373940930906</c:v>
                </c:pt>
                <c:pt idx="41">
                  <c:v>3.0182498430711089</c:v>
                </c:pt>
                <c:pt idx="42">
                  <c:v>2.9786346594520521</c:v>
                </c:pt>
                <c:pt idx="43">
                  <c:v>2.9403362076831625</c:v>
                </c:pt>
                <c:pt idx="44">
                  <c:v>2.9033013566183143</c:v>
                </c:pt>
                <c:pt idx="45">
                  <c:v>2.8674793510339804</c:v>
                </c:pt>
                <c:pt idx="46">
                  <c:v>2.8328216918532014</c:v>
                </c:pt>
                <c:pt idx="47">
                  <c:v>2.7992820242442593</c:v>
                </c:pt>
                <c:pt idx="48">
                  <c:v>2.7668160328521592</c:v>
                </c:pt>
                <c:pt idx="49">
                  <c:v>2.7353813435033065</c:v>
                </c:pt>
                <c:pt idx="50">
                  <c:v>2.7049374307978571</c:v>
                </c:pt>
                <c:pt idx="51">
                  <c:v>2.6754455310704657</c:v>
                </c:pt>
                <c:pt idx="52">
                  <c:v>2.646868560259394</c:v>
                </c:pt>
                <c:pt idx="53">
                  <c:v>2.6191710362765734</c:v>
                </c:pt>
                <c:pt idx="54">
                  <c:v>2.5923190055179535</c:v>
                </c:pt>
                <c:pt idx="55">
                  <c:v>2.5662793893960818</c:v>
                </c:pt>
                <c:pt idx="56">
                  <c:v>2.5410081720069169</c:v>
                </c:pt>
                <c:pt idx="57">
                  <c:v>2.5164770748776464</c:v>
                </c:pt>
                <c:pt idx="58">
                  <c:v>2.4926589626294606</c:v>
                </c:pt>
                <c:pt idx="59">
                  <c:v>2.4695277959331587</c:v>
                </c:pt>
                <c:pt idx="60">
                  <c:v>2.4470585864239998</c:v>
                </c:pt>
                <c:pt idx="61">
                  <c:v>2.4252273534672661</c:v>
                </c:pt>
                <c:pt idx="62">
                  <c:v>2.4040110826781187</c:v>
                </c:pt>
                <c:pt idx="63">
                  <c:v>2.3833876861094971</c:v>
                </c:pt>
                <c:pt idx="64">
                  <c:v>2.3633359640305875</c:v>
                </c:pt>
                <c:pt idx="65">
                  <c:v>2.3438355682257148</c:v>
                </c:pt>
                <c:pt idx="66">
                  <c:v>2.3248669667496999</c:v>
                </c:pt>
                <c:pt idx="67">
                  <c:v>2.3064114100809276</c:v>
                </c:pt>
                <c:pt idx="68">
                  <c:v>2.2884508986177639</c:v>
                </c:pt>
                <c:pt idx="69">
                  <c:v>2.2709681514675504</c:v>
                </c:pt>
                <c:pt idx="70">
                  <c:v>2.2539465764805278</c:v>
                </c:pt>
                <c:pt idx="71">
                  <c:v>2.2373702414835748</c:v>
                </c:pt>
                <c:pt idx="72">
                  <c:v>2.2212238466708083</c:v>
                </c:pt>
                <c:pt idx="73">
                  <c:v>2.2054926981099992</c:v>
                </c:pt>
                <c:pt idx="74">
                  <c:v>2.190162682325238</c:v>
                </c:pt>
                <c:pt idx="75">
                  <c:v>2.1752202419177862</c:v>
                </c:pt>
                <c:pt idx="76">
                  <c:v>2.16065235218815</c:v>
                </c:pt>
                <c:pt idx="77">
                  <c:v>2.1464464987235989</c:v>
                </c:pt>
                <c:pt idx="78">
                  <c:v>2.1325906559163093</c:v>
                </c:pt>
                <c:pt idx="79">
                  <c:v>2.1190732663782139</c:v>
                </c:pt>
                <c:pt idx="80">
                  <c:v>2.105883221219623</c:v>
                </c:pt>
                <c:pt idx="81">
                  <c:v>2.0930098411594149</c:v>
                </c:pt>
                <c:pt idx="82">
                  <c:v>2.0804428584354913</c:v>
                </c:pt>
                <c:pt idx="83">
                  <c:v>2.0681723994849968</c:v>
                </c:pt>
                <c:pt idx="84">
                  <c:v>2.0561889683645997</c:v>
                </c:pt>
                <c:pt idx="85">
                  <c:v>2.0444834307865691</c:v>
                </c:pt>
                <c:pt idx="86">
                  <c:v>2.0330469993511957</c:v>
                </c:pt>
                <c:pt idx="87">
                  <c:v>2.0218712183223144</c:v>
                </c:pt>
                <c:pt idx="88">
                  <c:v>2.0109479502480201</c:v>
                </c:pt>
                <c:pt idx="89">
                  <c:v>2.0002693625135182</c:v>
                </c:pt>
                <c:pt idx="90">
                  <c:v>1.9898279146232083</c:v>
                </c:pt>
                <c:pt idx="91">
                  <c:v>1.9796163460373022</c:v>
                </c:pt>
                <c:pt idx="92">
                  <c:v>1.9696276645397242</c:v>
                </c:pt>
                <c:pt idx="93">
                  <c:v>1.9598551351147819</c:v>
                </c:pt>
                <c:pt idx="94">
                  <c:v>1.9502922693109135</c:v>
                </c:pt>
                <c:pt idx="95">
                  <c:v>1.9409328150705636</c:v>
                </c:pt>
                <c:pt idx="96">
                  <c:v>1.9317707470060392</c:v>
                </c:pt>
                <c:pt idx="97">
                  <c:v>1.9228002571019138</c:v>
                </c:pt>
                <c:pt idx="98">
                  <c:v>1.914015745825316</c:v>
                </c:pt>
                <c:pt idx="99">
                  <c:v>1.9054118136261355</c:v>
                </c:pt>
                <c:pt idx="100">
                  <c:v>1.896983252809928</c:v>
                </c:pt>
              </c:numCache>
            </c:numRef>
          </c:xVal>
          <c:yVal>
            <c:numRef>
              <c:f>Sheet1!$B$24:$B$124</c:f>
              <c:numCache>
                <c:formatCode>#,##0.0</c:formatCode>
                <c:ptCount val="101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  <c:pt idx="31">
                  <c:v>3100</c:v>
                </c:pt>
                <c:pt idx="32">
                  <c:v>3200</c:v>
                </c:pt>
                <c:pt idx="33">
                  <c:v>3300</c:v>
                </c:pt>
                <c:pt idx="34">
                  <c:v>3400</c:v>
                </c:pt>
                <c:pt idx="35">
                  <c:v>3500</c:v>
                </c:pt>
                <c:pt idx="36">
                  <c:v>3600</c:v>
                </c:pt>
                <c:pt idx="37">
                  <c:v>3700</c:v>
                </c:pt>
                <c:pt idx="38">
                  <c:v>3800</c:v>
                </c:pt>
                <c:pt idx="39">
                  <c:v>3900</c:v>
                </c:pt>
                <c:pt idx="40">
                  <c:v>4000</c:v>
                </c:pt>
                <c:pt idx="41">
                  <c:v>4100</c:v>
                </c:pt>
                <c:pt idx="42">
                  <c:v>4200</c:v>
                </c:pt>
                <c:pt idx="43">
                  <c:v>4300</c:v>
                </c:pt>
                <c:pt idx="44">
                  <c:v>4400</c:v>
                </c:pt>
                <c:pt idx="45">
                  <c:v>4500</c:v>
                </c:pt>
                <c:pt idx="46">
                  <c:v>4600</c:v>
                </c:pt>
                <c:pt idx="47">
                  <c:v>4700</c:v>
                </c:pt>
                <c:pt idx="48">
                  <c:v>4800</c:v>
                </c:pt>
                <c:pt idx="49">
                  <c:v>4900</c:v>
                </c:pt>
                <c:pt idx="50">
                  <c:v>5000</c:v>
                </c:pt>
                <c:pt idx="51">
                  <c:v>5100</c:v>
                </c:pt>
                <c:pt idx="52">
                  <c:v>5200</c:v>
                </c:pt>
                <c:pt idx="53">
                  <c:v>5300</c:v>
                </c:pt>
                <c:pt idx="54">
                  <c:v>5400</c:v>
                </c:pt>
                <c:pt idx="55">
                  <c:v>5500</c:v>
                </c:pt>
                <c:pt idx="56">
                  <c:v>5600</c:v>
                </c:pt>
                <c:pt idx="57">
                  <c:v>5700</c:v>
                </c:pt>
                <c:pt idx="58">
                  <c:v>5800</c:v>
                </c:pt>
                <c:pt idx="59">
                  <c:v>5900</c:v>
                </c:pt>
                <c:pt idx="60">
                  <c:v>6000</c:v>
                </c:pt>
                <c:pt idx="61">
                  <c:v>6100</c:v>
                </c:pt>
                <c:pt idx="62">
                  <c:v>6200</c:v>
                </c:pt>
                <c:pt idx="63">
                  <c:v>6300</c:v>
                </c:pt>
                <c:pt idx="64">
                  <c:v>6400</c:v>
                </c:pt>
                <c:pt idx="65">
                  <c:v>6500</c:v>
                </c:pt>
                <c:pt idx="66">
                  <c:v>6600</c:v>
                </c:pt>
                <c:pt idx="67">
                  <c:v>6700</c:v>
                </c:pt>
                <c:pt idx="68">
                  <c:v>6800</c:v>
                </c:pt>
                <c:pt idx="69">
                  <c:v>6900</c:v>
                </c:pt>
                <c:pt idx="70">
                  <c:v>7000</c:v>
                </c:pt>
                <c:pt idx="71">
                  <c:v>7100</c:v>
                </c:pt>
                <c:pt idx="72">
                  <c:v>7200</c:v>
                </c:pt>
                <c:pt idx="73">
                  <c:v>7300</c:v>
                </c:pt>
                <c:pt idx="74">
                  <c:v>7400</c:v>
                </c:pt>
                <c:pt idx="75">
                  <c:v>7500</c:v>
                </c:pt>
                <c:pt idx="76">
                  <c:v>7600</c:v>
                </c:pt>
                <c:pt idx="77">
                  <c:v>7700</c:v>
                </c:pt>
                <c:pt idx="78">
                  <c:v>7800</c:v>
                </c:pt>
                <c:pt idx="79">
                  <c:v>7900</c:v>
                </c:pt>
                <c:pt idx="80">
                  <c:v>8000</c:v>
                </c:pt>
                <c:pt idx="81">
                  <c:v>8100</c:v>
                </c:pt>
                <c:pt idx="82">
                  <c:v>8200</c:v>
                </c:pt>
                <c:pt idx="83">
                  <c:v>8300</c:v>
                </c:pt>
                <c:pt idx="84">
                  <c:v>8400</c:v>
                </c:pt>
                <c:pt idx="85">
                  <c:v>8500</c:v>
                </c:pt>
                <c:pt idx="86">
                  <c:v>8600</c:v>
                </c:pt>
                <c:pt idx="87">
                  <c:v>8700</c:v>
                </c:pt>
                <c:pt idx="88">
                  <c:v>8800</c:v>
                </c:pt>
                <c:pt idx="89">
                  <c:v>8900</c:v>
                </c:pt>
                <c:pt idx="90">
                  <c:v>9000</c:v>
                </c:pt>
                <c:pt idx="91">
                  <c:v>9100</c:v>
                </c:pt>
                <c:pt idx="92">
                  <c:v>9200</c:v>
                </c:pt>
                <c:pt idx="93">
                  <c:v>9300</c:v>
                </c:pt>
                <c:pt idx="94">
                  <c:v>9400</c:v>
                </c:pt>
                <c:pt idx="95">
                  <c:v>9500</c:v>
                </c:pt>
                <c:pt idx="96">
                  <c:v>9600</c:v>
                </c:pt>
                <c:pt idx="97">
                  <c:v>9700</c:v>
                </c:pt>
                <c:pt idx="98">
                  <c:v>9800</c:v>
                </c:pt>
                <c:pt idx="99">
                  <c:v>9900</c:v>
                </c:pt>
                <c:pt idx="100">
                  <c:v>10000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8CF-4035-A8D6-C6D0BCFC02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7506912"/>
        <c:axId val="1907504512"/>
      </c:scatterChart>
      <c:valAx>
        <c:axId val="1907506912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strRef>
              <c:f>Sheet1!$H$23</c:f>
              <c:strCache>
                <c:ptCount val="1"/>
                <c:pt idx="0">
                  <c:v>USG ft/s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7504512"/>
        <c:crosses val="autoZero"/>
        <c:crossBetween val="midCat"/>
      </c:valAx>
      <c:valAx>
        <c:axId val="1907504512"/>
        <c:scaling>
          <c:orientation val="maxMin"/>
          <c:max val="1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strRef>
              <c:f>Sheet1!$B$23</c:f>
              <c:strCache>
                <c:ptCount val="1"/>
                <c:pt idx="0">
                  <c:v>Depth ft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75069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xVal>
            <c:numRef>
              <c:f>Sheet1!$D$24:$D$124</c:f>
              <c:numCache>
                <c:formatCode>#,##0.0</c:formatCode>
                <c:ptCount val="101"/>
                <c:pt idx="0">
                  <c:v>90</c:v>
                </c:pt>
                <c:pt idx="1">
                  <c:v>90.85</c:v>
                </c:pt>
                <c:pt idx="2">
                  <c:v>91.7</c:v>
                </c:pt>
                <c:pt idx="3">
                  <c:v>92.55</c:v>
                </c:pt>
                <c:pt idx="4">
                  <c:v>93.4</c:v>
                </c:pt>
                <c:pt idx="5">
                  <c:v>94.25</c:v>
                </c:pt>
                <c:pt idx="6">
                  <c:v>95.1</c:v>
                </c:pt>
                <c:pt idx="7">
                  <c:v>95.95</c:v>
                </c:pt>
                <c:pt idx="8">
                  <c:v>96.8</c:v>
                </c:pt>
                <c:pt idx="9">
                  <c:v>97.65</c:v>
                </c:pt>
                <c:pt idx="10">
                  <c:v>98.5</c:v>
                </c:pt>
                <c:pt idx="11">
                  <c:v>99.35</c:v>
                </c:pt>
                <c:pt idx="12">
                  <c:v>100.2</c:v>
                </c:pt>
                <c:pt idx="13">
                  <c:v>101.05</c:v>
                </c:pt>
                <c:pt idx="14">
                  <c:v>101.9</c:v>
                </c:pt>
                <c:pt idx="15">
                  <c:v>102.75</c:v>
                </c:pt>
                <c:pt idx="16">
                  <c:v>103.6</c:v>
                </c:pt>
                <c:pt idx="17">
                  <c:v>104.45</c:v>
                </c:pt>
                <c:pt idx="18">
                  <c:v>105.3</c:v>
                </c:pt>
                <c:pt idx="19">
                  <c:v>106.15</c:v>
                </c:pt>
                <c:pt idx="20">
                  <c:v>107</c:v>
                </c:pt>
                <c:pt idx="21">
                  <c:v>107.85</c:v>
                </c:pt>
                <c:pt idx="22">
                  <c:v>108.7</c:v>
                </c:pt>
                <c:pt idx="23">
                  <c:v>109.55</c:v>
                </c:pt>
                <c:pt idx="24">
                  <c:v>110.4</c:v>
                </c:pt>
                <c:pt idx="25">
                  <c:v>111.25</c:v>
                </c:pt>
                <c:pt idx="26">
                  <c:v>112.1</c:v>
                </c:pt>
                <c:pt idx="27">
                  <c:v>112.95</c:v>
                </c:pt>
                <c:pt idx="28">
                  <c:v>113.8</c:v>
                </c:pt>
                <c:pt idx="29">
                  <c:v>114.65</c:v>
                </c:pt>
                <c:pt idx="30">
                  <c:v>115.5</c:v>
                </c:pt>
                <c:pt idx="31">
                  <c:v>116.35</c:v>
                </c:pt>
                <c:pt idx="32">
                  <c:v>117.2</c:v>
                </c:pt>
                <c:pt idx="33">
                  <c:v>118.05</c:v>
                </c:pt>
                <c:pt idx="34">
                  <c:v>118.9</c:v>
                </c:pt>
                <c:pt idx="35">
                  <c:v>119.75</c:v>
                </c:pt>
                <c:pt idx="36">
                  <c:v>120.6</c:v>
                </c:pt>
                <c:pt idx="37">
                  <c:v>121.45</c:v>
                </c:pt>
                <c:pt idx="38">
                  <c:v>122.30000000000001</c:v>
                </c:pt>
                <c:pt idx="39">
                  <c:v>123.15</c:v>
                </c:pt>
                <c:pt idx="40">
                  <c:v>124</c:v>
                </c:pt>
                <c:pt idx="41">
                  <c:v>124.85</c:v>
                </c:pt>
                <c:pt idx="42">
                  <c:v>125.7</c:v>
                </c:pt>
                <c:pt idx="43">
                  <c:v>126.55000000000001</c:v>
                </c:pt>
                <c:pt idx="44">
                  <c:v>127.4</c:v>
                </c:pt>
                <c:pt idx="45">
                  <c:v>128.25</c:v>
                </c:pt>
                <c:pt idx="46">
                  <c:v>129.1</c:v>
                </c:pt>
                <c:pt idx="47">
                  <c:v>129.94999999999999</c:v>
                </c:pt>
                <c:pt idx="48">
                  <c:v>130.80000000000001</c:v>
                </c:pt>
                <c:pt idx="49">
                  <c:v>131.65</c:v>
                </c:pt>
                <c:pt idx="50">
                  <c:v>132.5</c:v>
                </c:pt>
                <c:pt idx="51">
                  <c:v>133.35</c:v>
                </c:pt>
                <c:pt idx="52">
                  <c:v>134.19999999999999</c:v>
                </c:pt>
                <c:pt idx="53">
                  <c:v>135.05000000000001</c:v>
                </c:pt>
                <c:pt idx="54">
                  <c:v>135.9</c:v>
                </c:pt>
                <c:pt idx="55">
                  <c:v>136.75</c:v>
                </c:pt>
                <c:pt idx="56">
                  <c:v>137.6</c:v>
                </c:pt>
                <c:pt idx="57">
                  <c:v>138.44999999999999</c:v>
                </c:pt>
                <c:pt idx="58">
                  <c:v>139.30000000000001</c:v>
                </c:pt>
                <c:pt idx="59">
                  <c:v>140.15</c:v>
                </c:pt>
                <c:pt idx="60">
                  <c:v>141</c:v>
                </c:pt>
                <c:pt idx="61">
                  <c:v>141.85</c:v>
                </c:pt>
                <c:pt idx="62">
                  <c:v>142.69999999999999</c:v>
                </c:pt>
                <c:pt idx="63">
                  <c:v>143.55000000000001</c:v>
                </c:pt>
                <c:pt idx="64">
                  <c:v>144.4</c:v>
                </c:pt>
                <c:pt idx="65">
                  <c:v>145.25</c:v>
                </c:pt>
                <c:pt idx="66">
                  <c:v>146.1</c:v>
                </c:pt>
                <c:pt idx="67">
                  <c:v>146.94999999999999</c:v>
                </c:pt>
                <c:pt idx="68">
                  <c:v>147.80000000000001</c:v>
                </c:pt>
                <c:pt idx="69">
                  <c:v>148.65</c:v>
                </c:pt>
                <c:pt idx="70">
                  <c:v>149.5</c:v>
                </c:pt>
                <c:pt idx="71">
                  <c:v>150.35</c:v>
                </c:pt>
                <c:pt idx="72">
                  <c:v>151.19999999999999</c:v>
                </c:pt>
                <c:pt idx="73">
                  <c:v>152.05000000000001</c:v>
                </c:pt>
                <c:pt idx="74">
                  <c:v>152.9</c:v>
                </c:pt>
                <c:pt idx="75">
                  <c:v>153.75</c:v>
                </c:pt>
                <c:pt idx="76">
                  <c:v>154.60000000000002</c:v>
                </c:pt>
                <c:pt idx="77">
                  <c:v>155.44999999999999</c:v>
                </c:pt>
                <c:pt idx="78">
                  <c:v>156.30000000000001</c:v>
                </c:pt>
                <c:pt idx="79">
                  <c:v>157.15</c:v>
                </c:pt>
                <c:pt idx="80">
                  <c:v>158</c:v>
                </c:pt>
                <c:pt idx="81">
                  <c:v>158.85000000000002</c:v>
                </c:pt>
                <c:pt idx="82">
                  <c:v>159.69999999999999</c:v>
                </c:pt>
                <c:pt idx="83">
                  <c:v>160.55000000000001</c:v>
                </c:pt>
                <c:pt idx="84">
                  <c:v>161.4</c:v>
                </c:pt>
                <c:pt idx="85">
                  <c:v>162.25</c:v>
                </c:pt>
                <c:pt idx="86">
                  <c:v>163.10000000000002</c:v>
                </c:pt>
                <c:pt idx="87">
                  <c:v>163.95</c:v>
                </c:pt>
                <c:pt idx="88">
                  <c:v>164.8</c:v>
                </c:pt>
                <c:pt idx="89">
                  <c:v>165.65</c:v>
                </c:pt>
                <c:pt idx="90">
                  <c:v>166.5</c:v>
                </c:pt>
                <c:pt idx="91">
                  <c:v>167.35000000000002</c:v>
                </c:pt>
                <c:pt idx="92">
                  <c:v>168.2</c:v>
                </c:pt>
                <c:pt idx="93">
                  <c:v>169.05</c:v>
                </c:pt>
                <c:pt idx="94">
                  <c:v>169.9</c:v>
                </c:pt>
                <c:pt idx="95">
                  <c:v>170.75</c:v>
                </c:pt>
                <c:pt idx="96">
                  <c:v>171.60000000000002</c:v>
                </c:pt>
                <c:pt idx="97">
                  <c:v>172.45</c:v>
                </c:pt>
                <c:pt idx="98">
                  <c:v>173.3</c:v>
                </c:pt>
                <c:pt idx="99">
                  <c:v>174.15</c:v>
                </c:pt>
                <c:pt idx="100">
                  <c:v>175</c:v>
                </c:pt>
              </c:numCache>
            </c:numRef>
          </c:xVal>
          <c:yVal>
            <c:numRef>
              <c:f>Sheet1!$B$24:$B$124</c:f>
              <c:numCache>
                <c:formatCode>#,##0.0</c:formatCode>
                <c:ptCount val="101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  <c:pt idx="31">
                  <c:v>3100</c:v>
                </c:pt>
                <c:pt idx="32">
                  <c:v>3200</c:v>
                </c:pt>
                <c:pt idx="33">
                  <c:v>3300</c:v>
                </c:pt>
                <c:pt idx="34">
                  <c:v>3400</c:v>
                </c:pt>
                <c:pt idx="35">
                  <c:v>3500</c:v>
                </c:pt>
                <c:pt idx="36">
                  <c:v>3600</c:v>
                </c:pt>
                <c:pt idx="37">
                  <c:v>3700</c:v>
                </c:pt>
                <c:pt idx="38">
                  <c:v>3800</c:v>
                </c:pt>
                <c:pt idx="39">
                  <c:v>3900</c:v>
                </c:pt>
                <c:pt idx="40">
                  <c:v>4000</c:v>
                </c:pt>
                <c:pt idx="41">
                  <c:v>4100</c:v>
                </c:pt>
                <c:pt idx="42">
                  <c:v>4200</c:v>
                </c:pt>
                <c:pt idx="43">
                  <c:v>4300</c:v>
                </c:pt>
                <c:pt idx="44">
                  <c:v>4400</c:v>
                </c:pt>
                <c:pt idx="45">
                  <c:v>4500</c:v>
                </c:pt>
                <c:pt idx="46">
                  <c:v>4600</c:v>
                </c:pt>
                <c:pt idx="47">
                  <c:v>4700</c:v>
                </c:pt>
                <c:pt idx="48">
                  <c:v>4800</c:v>
                </c:pt>
                <c:pt idx="49">
                  <c:v>4900</c:v>
                </c:pt>
                <c:pt idx="50">
                  <c:v>5000</c:v>
                </c:pt>
                <c:pt idx="51">
                  <c:v>5100</c:v>
                </c:pt>
                <c:pt idx="52">
                  <c:v>5200</c:v>
                </c:pt>
                <c:pt idx="53">
                  <c:v>5300</c:v>
                </c:pt>
                <c:pt idx="54">
                  <c:v>5400</c:v>
                </c:pt>
                <c:pt idx="55">
                  <c:v>5500</c:v>
                </c:pt>
                <c:pt idx="56">
                  <c:v>5600</c:v>
                </c:pt>
                <c:pt idx="57">
                  <c:v>5700</c:v>
                </c:pt>
                <c:pt idx="58">
                  <c:v>5800</c:v>
                </c:pt>
                <c:pt idx="59">
                  <c:v>5900</c:v>
                </c:pt>
                <c:pt idx="60">
                  <c:v>6000</c:v>
                </c:pt>
                <c:pt idx="61">
                  <c:v>6100</c:v>
                </c:pt>
                <c:pt idx="62">
                  <c:v>6200</c:v>
                </c:pt>
                <c:pt idx="63">
                  <c:v>6300</c:v>
                </c:pt>
                <c:pt idx="64">
                  <c:v>6400</c:v>
                </c:pt>
                <c:pt idx="65">
                  <c:v>6500</c:v>
                </c:pt>
                <c:pt idx="66">
                  <c:v>6600</c:v>
                </c:pt>
                <c:pt idx="67">
                  <c:v>6700</c:v>
                </c:pt>
                <c:pt idx="68">
                  <c:v>6800</c:v>
                </c:pt>
                <c:pt idx="69">
                  <c:v>6900</c:v>
                </c:pt>
                <c:pt idx="70">
                  <c:v>7000</c:v>
                </c:pt>
                <c:pt idx="71">
                  <c:v>7100</c:v>
                </c:pt>
                <c:pt idx="72">
                  <c:v>7200</c:v>
                </c:pt>
                <c:pt idx="73">
                  <c:v>7300</c:v>
                </c:pt>
                <c:pt idx="74">
                  <c:v>7400</c:v>
                </c:pt>
                <c:pt idx="75">
                  <c:v>7500</c:v>
                </c:pt>
                <c:pt idx="76">
                  <c:v>7600</c:v>
                </c:pt>
                <c:pt idx="77">
                  <c:v>7700</c:v>
                </c:pt>
                <c:pt idx="78">
                  <c:v>7800</c:v>
                </c:pt>
                <c:pt idx="79">
                  <c:v>7900</c:v>
                </c:pt>
                <c:pt idx="80">
                  <c:v>8000</c:v>
                </c:pt>
                <c:pt idx="81">
                  <c:v>8100</c:v>
                </c:pt>
                <c:pt idx="82">
                  <c:v>8200</c:v>
                </c:pt>
                <c:pt idx="83">
                  <c:v>8300</c:v>
                </c:pt>
                <c:pt idx="84">
                  <c:v>8400</c:v>
                </c:pt>
                <c:pt idx="85">
                  <c:v>8500</c:v>
                </c:pt>
                <c:pt idx="86">
                  <c:v>8600</c:v>
                </c:pt>
                <c:pt idx="87">
                  <c:v>8700</c:v>
                </c:pt>
                <c:pt idx="88">
                  <c:v>8800</c:v>
                </c:pt>
                <c:pt idx="89">
                  <c:v>8900</c:v>
                </c:pt>
                <c:pt idx="90">
                  <c:v>9000</c:v>
                </c:pt>
                <c:pt idx="91">
                  <c:v>9100</c:v>
                </c:pt>
                <c:pt idx="92">
                  <c:v>9200</c:v>
                </c:pt>
                <c:pt idx="93">
                  <c:v>9300</c:v>
                </c:pt>
                <c:pt idx="94">
                  <c:v>9400</c:v>
                </c:pt>
                <c:pt idx="95">
                  <c:v>9500</c:v>
                </c:pt>
                <c:pt idx="96">
                  <c:v>9600</c:v>
                </c:pt>
                <c:pt idx="97">
                  <c:v>9700</c:v>
                </c:pt>
                <c:pt idx="98">
                  <c:v>9800</c:v>
                </c:pt>
                <c:pt idx="99">
                  <c:v>9900</c:v>
                </c:pt>
                <c:pt idx="100">
                  <c:v>10000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155-48BC-B9F0-E393F97351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7506912"/>
        <c:axId val="1907504512"/>
      </c:scatterChart>
      <c:valAx>
        <c:axId val="1907506912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strRef>
              <c:f>Sheet1!$D$23</c:f>
              <c:strCache>
                <c:ptCount val="1"/>
                <c:pt idx="0">
                  <c:v>T °F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7504512"/>
        <c:crosses val="autoZero"/>
        <c:crossBetween val="midCat"/>
      </c:valAx>
      <c:valAx>
        <c:axId val="1907504512"/>
        <c:scaling>
          <c:orientation val="maxMin"/>
          <c:max val="1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strRef>
              <c:f>Sheet1!$B$23</c:f>
              <c:strCache>
                <c:ptCount val="1"/>
                <c:pt idx="0">
                  <c:v>Depth ft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75069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Sheet1!$F$23</c:f>
              <c:strCache>
                <c:ptCount val="1"/>
                <c:pt idx="0">
                  <c:v>LHOLDUP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Sheet1!$H$24:$H$124</c:f>
              <c:numCache>
                <c:formatCode>0.00</c:formatCode>
                <c:ptCount val="101"/>
                <c:pt idx="0">
                  <c:v>6.869782050124762</c:v>
                </c:pt>
                <c:pt idx="1">
                  <c:v>6.869782050124762</c:v>
                </c:pt>
                <c:pt idx="2">
                  <c:v>6.6679282773582225</c:v>
                </c:pt>
                <c:pt idx="3">
                  <c:v>6.4762317303954893</c:v>
                </c:pt>
                <c:pt idx="4">
                  <c:v>6.2940059032538445</c:v>
                </c:pt>
                <c:pt idx="5">
                  <c:v>6.1206249901889462</c:v>
                </c:pt>
                <c:pt idx="6">
                  <c:v>5.9555173399848345</c:v>
                </c:pt>
                <c:pt idx="7">
                  <c:v>5.7981597300384387</c:v>
                </c:pt>
                <c:pt idx="8">
                  <c:v>5.6480723387057523</c:v>
                </c:pt>
                <c:pt idx="9">
                  <c:v>5.5048143300555674</c:v>
                </c:pt>
                <c:pt idx="10">
                  <c:v>5.3679799508322157</c:v>
                </c:pt>
                <c:pt idx="11">
                  <c:v>5.2371950835603416</c:v>
                </c:pt>
                <c:pt idx="12">
                  <c:v>5.1121141903963849</c:v>
                </c:pt>
                <c:pt idx="13">
                  <c:v>4.9924175982047307</c:v>
                </c:pt>
                <c:pt idx="14">
                  <c:v>4.877809081645073</c:v>
                </c:pt>
                <c:pt idx="15">
                  <c:v>4.7680137072508399</c:v>
                </c:pt>
                <c:pt idx="16">
                  <c:v>4.6627759066901602</c:v>
                </c:pt>
                <c:pt idx="17">
                  <c:v>4.5618577517999528</c:v>
                </c:pt>
                <c:pt idx="18">
                  <c:v>4.4650374077063022</c:v>
                </c:pt>
                <c:pt idx="19">
                  <c:v>4.3721077435030029</c:v>
                </c:pt>
                <c:pt idx="20">
                  <c:v>4.2828750826467319</c:v>
                </c:pt>
                <c:pt idx="21">
                  <c:v>4.1971580775178445</c:v>
                </c:pt>
                <c:pt idx="22">
                  <c:v>4.1147866945531</c:v>
                </c:pt>
                <c:pt idx="23">
                  <c:v>4.0356012980329776</c:v>
                </c:pt>
                <c:pt idx="24">
                  <c:v>3.9594518220455024</c:v>
                </c:pt>
                <c:pt idx="25">
                  <c:v>3.8861970213869101</c:v>
                </c:pt>
                <c:pt idx="26">
                  <c:v>3.8157037932280096</c:v>
                </c:pt>
                <c:pt idx="27">
                  <c:v>3.7478465622995207</c:v>
                </c:pt>
                <c:pt idx="28">
                  <c:v>3.6825067231517838</c:v>
                </c:pt>
                <c:pt idx="29">
                  <c:v>3.6195721337425684</c:v>
                </c:pt>
                <c:pt idx="30">
                  <c:v>3.5589366552168711</c:v>
                </c:pt>
                <c:pt idx="31">
                  <c:v>3.5004997332776804</c:v>
                </c:pt>
                <c:pt idx="32">
                  <c:v>3.4441660170179609</c:v>
                </c:pt>
                <c:pt idx="33">
                  <c:v>3.3898450115009506</c:v>
                </c:pt>
                <c:pt idx="34">
                  <c:v>3.337450760746103</c:v>
                </c:pt>
                <c:pt idx="35">
                  <c:v>3.2869015581083381</c:v>
                </c:pt>
                <c:pt idx="36">
                  <c:v>3.2381196813342616</c:v>
                </c:pt>
                <c:pt idx="37">
                  <c:v>3.1910311498451511</c:v>
                </c:pt>
                <c:pt idx="38">
                  <c:v>3.1455655020368072</c:v>
                </c:pt>
                <c:pt idx="39">
                  <c:v>3.1016555906038059</c:v>
                </c:pt>
                <c:pt idx="40">
                  <c:v>3.0592373940930906</c:v>
                </c:pt>
                <c:pt idx="41">
                  <c:v>3.0182498430711089</c:v>
                </c:pt>
                <c:pt idx="42">
                  <c:v>2.9786346594520521</c:v>
                </c:pt>
                <c:pt idx="43">
                  <c:v>2.9403362076831625</c:v>
                </c:pt>
                <c:pt idx="44">
                  <c:v>2.9033013566183143</c:v>
                </c:pt>
                <c:pt idx="45">
                  <c:v>2.8674793510339804</c:v>
                </c:pt>
                <c:pt idx="46">
                  <c:v>2.8328216918532014</c:v>
                </c:pt>
                <c:pt idx="47">
                  <c:v>2.7992820242442593</c:v>
                </c:pt>
                <c:pt idx="48">
                  <c:v>2.7668160328521592</c:v>
                </c:pt>
                <c:pt idx="49">
                  <c:v>2.7353813435033065</c:v>
                </c:pt>
                <c:pt idx="50">
                  <c:v>2.7049374307978571</c:v>
                </c:pt>
                <c:pt idx="51">
                  <c:v>2.6754455310704657</c:v>
                </c:pt>
                <c:pt idx="52">
                  <c:v>2.646868560259394</c:v>
                </c:pt>
                <c:pt idx="53">
                  <c:v>2.6191710362765734</c:v>
                </c:pt>
                <c:pt idx="54">
                  <c:v>2.5923190055179535</c:v>
                </c:pt>
                <c:pt idx="55">
                  <c:v>2.5662793893960818</c:v>
                </c:pt>
                <c:pt idx="56">
                  <c:v>2.5410081720069169</c:v>
                </c:pt>
                <c:pt idx="57">
                  <c:v>2.5164770748776464</c:v>
                </c:pt>
                <c:pt idx="58">
                  <c:v>2.4926589626294606</c:v>
                </c:pt>
                <c:pt idx="59">
                  <c:v>2.4695277959331587</c:v>
                </c:pt>
                <c:pt idx="60">
                  <c:v>2.4470585864239998</c:v>
                </c:pt>
                <c:pt idx="61">
                  <c:v>2.4252273534672661</c:v>
                </c:pt>
                <c:pt idx="62">
                  <c:v>2.4040110826781187</c:v>
                </c:pt>
                <c:pt idx="63">
                  <c:v>2.3833876861094971</c:v>
                </c:pt>
                <c:pt idx="64">
                  <c:v>2.3633359640305875</c:v>
                </c:pt>
                <c:pt idx="65">
                  <c:v>2.3438355682257148</c:v>
                </c:pt>
                <c:pt idx="66">
                  <c:v>2.3248669667496999</c:v>
                </c:pt>
                <c:pt idx="67">
                  <c:v>2.3064114100809276</c:v>
                </c:pt>
                <c:pt idx="68">
                  <c:v>2.2884508986177639</c:v>
                </c:pt>
                <c:pt idx="69">
                  <c:v>2.2709681514675504</c:v>
                </c:pt>
                <c:pt idx="70">
                  <c:v>2.2539465764805278</c:v>
                </c:pt>
                <c:pt idx="71">
                  <c:v>2.2373702414835748</c:v>
                </c:pt>
                <c:pt idx="72">
                  <c:v>2.2212238466708083</c:v>
                </c:pt>
                <c:pt idx="73">
                  <c:v>2.2054926981099992</c:v>
                </c:pt>
                <c:pt idx="74">
                  <c:v>2.190162682325238</c:v>
                </c:pt>
                <c:pt idx="75">
                  <c:v>2.1752202419177862</c:v>
                </c:pt>
                <c:pt idx="76">
                  <c:v>2.16065235218815</c:v>
                </c:pt>
                <c:pt idx="77">
                  <c:v>2.1464464987235989</c:v>
                </c:pt>
                <c:pt idx="78">
                  <c:v>2.1325906559163093</c:v>
                </c:pt>
                <c:pt idx="79">
                  <c:v>2.1190732663782139</c:v>
                </c:pt>
                <c:pt idx="80">
                  <c:v>2.105883221219623</c:v>
                </c:pt>
                <c:pt idx="81">
                  <c:v>2.0930098411594149</c:v>
                </c:pt>
                <c:pt idx="82">
                  <c:v>2.0804428584354913</c:v>
                </c:pt>
                <c:pt idx="83">
                  <c:v>2.0681723994849968</c:v>
                </c:pt>
                <c:pt idx="84">
                  <c:v>2.0561889683645997</c:v>
                </c:pt>
                <c:pt idx="85">
                  <c:v>2.0444834307865691</c:v>
                </c:pt>
                <c:pt idx="86">
                  <c:v>2.0330469993511957</c:v>
                </c:pt>
                <c:pt idx="87">
                  <c:v>2.0218712183223144</c:v>
                </c:pt>
                <c:pt idx="88">
                  <c:v>2.0109479502480201</c:v>
                </c:pt>
                <c:pt idx="89">
                  <c:v>2.0002693625135182</c:v>
                </c:pt>
                <c:pt idx="90">
                  <c:v>1.9898279146232083</c:v>
                </c:pt>
                <c:pt idx="91">
                  <c:v>1.9796163460373022</c:v>
                </c:pt>
                <c:pt idx="92">
                  <c:v>1.9696276645397242</c:v>
                </c:pt>
                <c:pt idx="93">
                  <c:v>1.9598551351147819</c:v>
                </c:pt>
                <c:pt idx="94">
                  <c:v>1.9502922693109135</c:v>
                </c:pt>
                <c:pt idx="95">
                  <c:v>1.9409328150705636</c:v>
                </c:pt>
                <c:pt idx="96">
                  <c:v>1.9317707470060392</c:v>
                </c:pt>
                <c:pt idx="97">
                  <c:v>1.9228002571019138</c:v>
                </c:pt>
                <c:pt idx="98">
                  <c:v>1.914015745825316</c:v>
                </c:pt>
                <c:pt idx="99">
                  <c:v>1.9054118136261355</c:v>
                </c:pt>
                <c:pt idx="100">
                  <c:v>1.896983252809928</c:v>
                </c:pt>
              </c:numCache>
            </c:numRef>
          </c:xVal>
          <c:yVal>
            <c:numRef>
              <c:f>Sheet1!$F$24:$F$124</c:f>
              <c:numCache>
                <c:formatCode>0.00</c:formatCode>
                <c:ptCount val="101"/>
                <c:pt idx="0">
                  <c:v>0.50726137203171839</c:v>
                </c:pt>
                <c:pt idx="1">
                  <c:v>0.50726137203171839</c:v>
                </c:pt>
                <c:pt idx="2">
                  <c:v>0.51022349965184699</c:v>
                </c:pt>
                <c:pt idx="3">
                  <c:v>0.51312447800042804</c:v>
                </c:pt>
                <c:pt idx="4">
                  <c:v>0.51596663243495666</c:v>
                </c:pt>
                <c:pt idx="5">
                  <c:v>0.51875212566193263</c:v>
                </c:pt>
                <c:pt idx="6">
                  <c:v>0.52148297051844772</c:v>
                </c:pt>
                <c:pt idx="7">
                  <c:v>0.52416104169768307</c:v>
                </c:pt>
                <c:pt idx="8">
                  <c:v>0.5267880866402469</c:v>
                </c:pt>
                <c:pt idx="9">
                  <c:v>0.52936573544054066</c:v>
                </c:pt>
                <c:pt idx="10">
                  <c:v>0.53189551022166903</c:v>
                </c:pt>
                <c:pt idx="11">
                  <c:v>0.53437883376782569</c:v>
                </c:pt>
                <c:pt idx="12">
                  <c:v>0.53681703760278876</c:v>
                </c:pt>
                <c:pt idx="13">
                  <c:v>0.53921136954807058</c:v>
                </c:pt>
                <c:pt idx="14">
                  <c:v>0.54156300080722108</c:v>
                </c:pt>
                <c:pt idx="15">
                  <c:v>0.54387303261497966</c:v>
                </c:pt>
                <c:pt idx="16">
                  <c:v>0.54614250248310359</c:v>
                </c:pt>
                <c:pt idx="17">
                  <c:v>0.54837239006889682</c:v>
                </c:pt>
                <c:pt idx="18">
                  <c:v>0.55056362268738912</c:v>
                </c:pt>
                <c:pt idx="19">
                  <c:v>0.5527170804838889</c:v>
                </c:pt>
                <c:pt idx="20">
                  <c:v>0.55483360128013814</c:v>
                </c:pt>
                <c:pt idx="21">
                  <c:v>0.55691398510444468</c:v>
                </c:pt>
                <c:pt idx="22">
                  <c:v>0.55895899841402052</c:v>
                </c:pt>
                <c:pt idx="23">
                  <c:v>0.560969378016139</c:v>
                </c:pt>
                <c:pt idx="24">
                  <c:v>0.56294583469367521</c:v>
                </c:pt>
                <c:pt idx="25">
                  <c:v>0.56488905654003096</c:v>
                </c:pt>
                <c:pt idx="26">
                  <c:v>0.56679971200833568</c:v>
                </c:pt>
                <c:pt idx="27">
                  <c:v>0.5686784526800267</c:v>
                </c:pt>
                <c:pt idx="28">
                  <c:v>0.57052591575852285</c:v>
                </c:pt>
                <c:pt idx="29">
                  <c:v>0.57234272629446847</c:v>
                </c:pt>
                <c:pt idx="30">
                  <c:v>0.57412949915004485</c:v>
                </c:pt>
                <c:pt idx="31">
                  <c:v>0.57588684071096596</c:v>
                </c:pt>
                <c:pt idx="32">
                  <c:v>0.57761535035590272</c:v>
                </c:pt>
                <c:pt idx="33">
                  <c:v>0.57931562169432904</c:v>
                </c:pt>
                <c:pt idx="34">
                  <c:v>0.58098824358482404</c:v>
                </c:pt>
                <c:pt idx="35">
                  <c:v>0.58263380094694539</c:v>
                </c:pt>
                <c:pt idx="36">
                  <c:v>0.58425287538065396</c:v>
                </c:pt>
                <c:pt idx="37">
                  <c:v>0.58584604560800613</c:v>
                </c:pt>
                <c:pt idx="38">
                  <c:v>0.58741388775235392</c:v>
                </c:pt>
                <c:pt idx="39">
                  <c:v>0.58895697547067749</c:v>
                </c:pt>
                <c:pt idx="40">
                  <c:v>0.59047587995474371</c:v>
                </c:pt>
                <c:pt idx="41">
                  <c:v>0.5919711698168062</c:v>
                </c:pt>
                <c:pt idx="42">
                  <c:v>0.59344341087524666</c:v>
                </c:pt>
                <c:pt idx="43">
                  <c:v>0.59489316585517305</c:v>
                </c:pt>
                <c:pt idx="44">
                  <c:v>0.59632099401836014</c:v>
                </c:pt>
                <c:pt idx="45">
                  <c:v>0.59772745073626488</c:v>
                </c:pt>
                <c:pt idx="46">
                  <c:v>0.59911308701890753</c:v>
                </c:pt>
                <c:pt idx="47">
                  <c:v>0.60047844901161629</c:v>
                </c:pt>
                <c:pt idx="48">
                  <c:v>0.60182407747052369</c:v>
                </c:pt>
                <c:pt idx="49">
                  <c:v>0.603150507226764</c:v>
                </c:pt>
                <c:pt idx="50">
                  <c:v>0.60445826664821389</c:v>
                </c:pt>
                <c:pt idx="51">
                  <c:v>0.6057478771066136</c:v>
                </c:pt>
                <c:pt idx="52">
                  <c:v>0.60701985245684986</c:v>
                </c:pt>
                <c:pt idx="53">
                  <c:v>0.60827469853421567</c:v>
                </c:pt>
                <c:pt idx="54">
                  <c:v>0.60952352645804309</c:v>
                </c:pt>
                <c:pt idx="55">
                  <c:v>0.61099672867153554</c:v>
                </c:pt>
                <c:pt idx="56">
                  <c:v>0.61244348508615509</c:v>
                </c:pt>
                <c:pt idx="57">
                  <c:v>0.61386432392977719</c:v>
                </c:pt>
                <c:pt idx="58">
                  <c:v>0.61525976942822846</c:v>
                </c:pt>
                <c:pt idx="59">
                  <c:v>0.61663034125588179</c:v>
                </c:pt>
                <c:pt idx="60">
                  <c:v>0.61797655402562268</c:v>
                </c:pt>
                <c:pt idx="61">
                  <c:v>0.61929891681869031</c:v>
                </c:pt>
                <c:pt idx="62">
                  <c:v>0.62059793275446562</c:v>
                </c:pt>
                <c:pt idx="63">
                  <c:v>0.62187409859982457</c:v>
                </c:pt>
                <c:pt idx="64">
                  <c:v>0.62312790441741217</c:v>
                </c:pt>
                <c:pt idx="65">
                  <c:v>0.62435983325182864</c:v>
                </c:pt>
                <c:pt idx="66">
                  <c:v>0.62557036085255058</c:v>
                </c:pt>
                <c:pt idx="67">
                  <c:v>0.626759955432173</c:v>
                </c:pt>
                <c:pt idx="68">
                  <c:v>0.62792907745843507</c:v>
                </c:pt>
                <c:pt idx="69">
                  <c:v>0.62907817947838407</c:v>
                </c:pt>
                <c:pt idx="70">
                  <c:v>0.63020770597292297</c:v>
                </c:pt>
                <c:pt idx="71">
                  <c:v>0.63131809323998433</c:v>
                </c:pt>
                <c:pt idx="72">
                  <c:v>0.63240976930450477</c:v>
                </c:pt>
                <c:pt idx="73">
                  <c:v>0.63348315385342269</c:v>
                </c:pt>
                <c:pt idx="74">
                  <c:v>0.63453865819387711</c:v>
                </c:pt>
                <c:pt idx="75">
                  <c:v>0.6355766852328848</c:v>
                </c:pt>
                <c:pt idx="76">
                  <c:v>0.63659762947676346</c:v>
                </c:pt>
                <c:pt idx="77">
                  <c:v>0.63760187704865501</c:v>
                </c:pt>
                <c:pt idx="78">
                  <c:v>0.6385898057225633</c:v>
                </c:pt>
                <c:pt idx="79">
                  <c:v>0.63956178497236549</c:v>
                </c:pt>
                <c:pt idx="80">
                  <c:v>0.6405181760343821</c:v>
                </c:pt>
                <c:pt idx="81">
                  <c:v>0.64145933198208493</c:v>
                </c:pt>
                <c:pt idx="82">
                  <c:v>0.6423855978117029</c:v>
                </c:pt>
                <c:pt idx="83">
                  <c:v>0.64329731053746075</c:v>
                </c:pt>
                <c:pt idx="84">
                  <c:v>0.64419479929534373</c:v>
                </c:pt>
                <c:pt idx="85">
                  <c:v>0.6450783854602874</c:v>
                </c:pt>
                <c:pt idx="86">
                  <c:v>0.64594838273767508</c:v>
                </c:pt>
                <c:pt idx="87">
                  <c:v>0.64680509733002611</c:v>
                </c:pt>
                <c:pt idx="88">
                  <c:v>0.64764882803236645</c:v>
                </c:pt>
                <c:pt idx="89">
                  <c:v>0.64847986637343535</c:v>
                </c:pt>
                <c:pt idx="90">
                  <c:v>0.64929849675070783</c:v>
                </c:pt>
                <c:pt idx="91">
                  <c:v>0.65010499656799847</c:v>
                </c:pt>
                <c:pt idx="92">
                  <c:v>0.65089963637498971</c:v>
                </c:pt>
                <c:pt idx="93">
                  <c:v>0.65168268000816809</c:v>
                </c:pt>
                <c:pt idx="94">
                  <c:v>0.65245438473269257</c:v>
                </c:pt>
                <c:pt idx="95">
                  <c:v>0.653215001384711</c:v>
                </c:pt>
                <c:pt idx="96">
                  <c:v>0.65396477451373436</c:v>
                </c:pt>
                <c:pt idx="97">
                  <c:v>0.65470394252472441</c:v>
                </c:pt>
                <c:pt idx="98">
                  <c:v>0.65543273781953293</c:v>
                </c:pt>
                <c:pt idx="99">
                  <c:v>0.65615138693744557</c:v>
                </c:pt>
                <c:pt idx="100">
                  <c:v>0.65686011069453543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956-43D1-BFC1-CADF96388C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6019440"/>
        <c:axId val="706019920"/>
      </c:scatterChart>
      <c:valAx>
        <c:axId val="706019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strRef>
              <c:f>Sheet1!$H$23</c:f>
              <c:strCache>
                <c:ptCount val="1"/>
                <c:pt idx="0">
                  <c:v>USG ft/s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6019920"/>
        <c:crosses val="autoZero"/>
        <c:crossBetween val="midCat"/>
      </c:valAx>
      <c:valAx>
        <c:axId val="706019920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strRef>
              <c:f>Sheet1!$F$23</c:f>
              <c:strCache>
                <c:ptCount val="1"/>
                <c:pt idx="0">
                  <c:v>LHOLDUP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60194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1"/>
          <c:order val="0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Sheet1!$F$25:$F$125</c:f>
              <c:numCache>
                <c:formatCode>0.00</c:formatCode>
                <c:ptCount val="101"/>
                <c:pt idx="0">
                  <c:v>0.50726137203171839</c:v>
                </c:pt>
                <c:pt idx="1">
                  <c:v>0.51022349965184699</c:v>
                </c:pt>
                <c:pt idx="2">
                  <c:v>0.51312447800042804</c:v>
                </c:pt>
                <c:pt idx="3">
                  <c:v>0.51596663243495666</c:v>
                </c:pt>
                <c:pt idx="4">
                  <c:v>0.51875212566193263</c:v>
                </c:pt>
                <c:pt idx="5">
                  <c:v>0.52148297051844772</c:v>
                </c:pt>
                <c:pt idx="6">
                  <c:v>0.52416104169768307</c:v>
                </c:pt>
                <c:pt idx="7">
                  <c:v>0.5267880866402469</c:v>
                </c:pt>
                <c:pt idx="8">
                  <c:v>0.52936573544054066</c:v>
                </c:pt>
                <c:pt idx="9">
                  <c:v>0.53189551022166903</c:v>
                </c:pt>
                <c:pt idx="10">
                  <c:v>0.53437883376782569</c:v>
                </c:pt>
                <c:pt idx="11">
                  <c:v>0.53681703760278876</c:v>
                </c:pt>
                <c:pt idx="12">
                  <c:v>0.53921136954807058</c:v>
                </c:pt>
                <c:pt idx="13">
                  <c:v>0.54156300080722108</c:v>
                </c:pt>
                <c:pt idx="14">
                  <c:v>0.54387303261497966</c:v>
                </c:pt>
                <c:pt idx="15">
                  <c:v>0.54614250248310359</c:v>
                </c:pt>
                <c:pt idx="16">
                  <c:v>0.54837239006889682</c:v>
                </c:pt>
                <c:pt idx="17">
                  <c:v>0.55056362268738912</c:v>
                </c:pt>
                <c:pt idx="18">
                  <c:v>0.5527170804838889</c:v>
                </c:pt>
                <c:pt idx="19">
                  <c:v>0.55483360128013814</c:v>
                </c:pt>
                <c:pt idx="20">
                  <c:v>0.55691398510444468</c:v>
                </c:pt>
                <c:pt idx="21">
                  <c:v>0.55895899841402052</c:v>
                </c:pt>
                <c:pt idx="22">
                  <c:v>0.560969378016139</c:v>
                </c:pt>
                <c:pt idx="23">
                  <c:v>0.56294583469367521</c:v>
                </c:pt>
                <c:pt idx="24">
                  <c:v>0.56488905654003096</c:v>
                </c:pt>
                <c:pt idx="25">
                  <c:v>0.56679971200833568</c:v>
                </c:pt>
                <c:pt idx="26">
                  <c:v>0.5686784526800267</c:v>
                </c:pt>
                <c:pt idx="27">
                  <c:v>0.57052591575852285</c:v>
                </c:pt>
                <c:pt idx="28">
                  <c:v>0.57234272629446847</c:v>
                </c:pt>
                <c:pt idx="29">
                  <c:v>0.57412949915004485</c:v>
                </c:pt>
                <c:pt idx="30">
                  <c:v>0.57588684071096596</c:v>
                </c:pt>
                <c:pt idx="31">
                  <c:v>0.57761535035590272</c:v>
                </c:pt>
                <c:pt idx="32">
                  <c:v>0.57931562169432904</c:v>
                </c:pt>
                <c:pt idx="33">
                  <c:v>0.58098824358482404</c:v>
                </c:pt>
                <c:pt idx="34">
                  <c:v>0.58263380094694539</c:v>
                </c:pt>
                <c:pt idx="35">
                  <c:v>0.58425287538065396</c:v>
                </c:pt>
                <c:pt idx="36">
                  <c:v>0.58584604560800613</c:v>
                </c:pt>
                <c:pt idx="37">
                  <c:v>0.58741388775235392</c:v>
                </c:pt>
                <c:pt idx="38">
                  <c:v>0.58895697547067749</c:v>
                </c:pt>
                <c:pt idx="39">
                  <c:v>0.59047587995474371</c:v>
                </c:pt>
                <c:pt idx="40">
                  <c:v>0.5919711698168062</c:v>
                </c:pt>
                <c:pt idx="41">
                  <c:v>0.59344341087524666</c:v>
                </c:pt>
                <c:pt idx="42">
                  <c:v>0.59489316585517305</c:v>
                </c:pt>
                <c:pt idx="43">
                  <c:v>0.59632099401836014</c:v>
                </c:pt>
                <c:pt idx="44">
                  <c:v>0.59772745073626488</c:v>
                </c:pt>
                <c:pt idx="45">
                  <c:v>0.59911308701890753</c:v>
                </c:pt>
                <c:pt idx="46">
                  <c:v>0.60047844901161629</c:v>
                </c:pt>
                <c:pt idx="47">
                  <c:v>0.60182407747052369</c:v>
                </c:pt>
                <c:pt idx="48">
                  <c:v>0.603150507226764</c:v>
                </c:pt>
                <c:pt idx="49">
                  <c:v>0.60445826664821389</c:v>
                </c:pt>
                <c:pt idx="50">
                  <c:v>0.6057478771066136</c:v>
                </c:pt>
                <c:pt idx="51">
                  <c:v>0.60701985245684986</c:v>
                </c:pt>
                <c:pt idx="52">
                  <c:v>0.60827469853421567</c:v>
                </c:pt>
                <c:pt idx="53">
                  <c:v>0.60952352645804309</c:v>
                </c:pt>
                <c:pt idx="54">
                  <c:v>0.61099672867153554</c:v>
                </c:pt>
                <c:pt idx="55">
                  <c:v>0.61244348508615509</c:v>
                </c:pt>
                <c:pt idx="56">
                  <c:v>0.61386432392977719</c:v>
                </c:pt>
                <c:pt idx="57">
                  <c:v>0.61525976942822846</c:v>
                </c:pt>
                <c:pt idx="58">
                  <c:v>0.61663034125588179</c:v>
                </c:pt>
                <c:pt idx="59">
                  <c:v>0.61797655402562268</c:v>
                </c:pt>
                <c:pt idx="60">
                  <c:v>0.61929891681869031</c:v>
                </c:pt>
                <c:pt idx="61">
                  <c:v>0.62059793275446562</c:v>
                </c:pt>
                <c:pt idx="62">
                  <c:v>0.62187409859982457</c:v>
                </c:pt>
                <c:pt idx="63">
                  <c:v>0.62312790441741217</c:v>
                </c:pt>
                <c:pt idx="64">
                  <c:v>0.62435983325182864</c:v>
                </c:pt>
                <c:pt idx="65">
                  <c:v>0.62557036085255058</c:v>
                </c:pt>
                <c:pt idx="66">
                  <c:v>0.626759955432173</c:v>
                </c:pt>
                <c:pt idx="67">
                  <c:v>0.62792907745843507</c:v>
                </c:pt>
                <c:pt idx="68">
                  <c:v>0.62907817947838407</c:v>
                </c:pt>
                <c:pt idx="69">
                  <c:v>0.63020770597292297</c:v>
                </c:pt>
                <c:pt idx="70">
                  <c:v>0.63131809323998433</c:v>
                </c:pt>
                <c:pt idx="71">
                  <c:v>0.63240976930450477</c:v>
                </c:pt>
                <c:pt idx="72">
                  <c:v>0.63348315385342269</c:v>
                </c:pt>
                <c:pt idx="73">
                  <c:v>0.63453865819387711</c:v>
                </c:pt>
                <c:pt idx="74">
                  <c:v>0.6355766852328848</c:v>
                </c:pt>
                <c:pt idx="75">
                  <c:v>0.63659762947676346</c:v>
                </c:pt>
                <c:pt idx="76">
                  <c:v>0.63760187704865501</c:v>
                </c:pt>
                <c:pt idx="77">
                  <c:v>0.6385898057225633</c:v>
                </c:pt>
                <c:pt idx="78">
                  <c:v>0.63956178497236549</c:v>
                </c:pt>
                <c:pt idx="79">
                  <c:v>0.6405181760343821</c:v>
                </c:pt>
                <c:pt idx="80">
                  <c:v>0.64145933198208493</c:v>
                </c:pt>
                <c:pt idx="81">
                  <c:v>0.6423855978117029</c:v>
                </c:pt>
                <c:pt idx="82">
                  <c:v>0.64329731053746075</c:v>
                </c:pt>
                <c:pt idx="83">
                  <c:v>0.64419479929534373</c:v>
                </c:pt>
                <c:pt idx="84">
                  <c:v>0.6450783854602874</c:v>
                </c:pt>
                <c:pt idx="85">
                  <c:v>0.64594838273767508</c:v>
                </c:pt>
                <c:pt idx="86">
                  <c:v>0.64680509733002611</c:v>
                </c:pt>
                <c:pt idx="87">
                  <c:v>0.64764882803236645</c:v>
                </c:pt>
                <c:pt idx="88">
                  <c:v>0.64847986637343535</c:v>
                </c:pt>
                <c:pt idx="89">
                  <c:v>0.64929849675070783</c:v>
                </c:pt>
                <c:pt idx="90">
                  <c:v>0.65010499656799847</c:v>
                </c:pt>
                <c:pt idx="91">
                  <c:v>0.65089963637498971</c:v>
                </c:pt>
                <c:pt idx="92">
                  <c:v>0.65168268000816809</c:v>
                </c:pt>
                <c:pt idx="93">
                  <c:v>0.65245438473269257</c:v>
                </c:pt>
                <c:pt idx="94">
                  <c:v>0.653215001384711</c:v>
                </c:pt>
                <c:pt idx="95">
                  <c:v>0.65396477451373436</c:v>
                </c:pt>
                <c:pt idx="96">
                  <c:v>0.65470394252472441</c:v>
                </c:pt>
                <c:pt idx="97">
                  <c:v>0.65543273781953293</c:v>
                </c:pt>
                <c:pt idx="98">
                  <c:v>0.65615138693744557</c:v>
                </c:pt>
                <c:pt idx="99">
                  <c:v>0.65686011069453543</c:v>
                </c:pt>
              </c:numCache>
            </c:numRef>
          </c:xVal>
          <c:yVal>
            <c:numRef>
              <c:f>Sheet1!$B$24:$B$124</c:f>
              <c:numCache>
                <c:formatCode>#,##0.0</c:formatCode>
                <c:ptCount val="101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  <c:pt idx="31">
                  <c:v>3100</c:v>
                </c:pt>
                <c:pt idx="32">
                  <c:v>3200</c:v>
                </c:pt>
                <c:pt idx="33">
                  <c:v>3300</c:v>
                </c:pt>
                <c:pt idx="34">
                  <c:v>3400</c:v>
                </c:pt>
                <c:pt idx="35">
                  <c:v>3500</c:v>
                </c:pt>
                <c:pt idx="36">
                  <c:v>3600</c:v>
                </c:pt>
                <c:pt idx="37">
                  <c:v>3700</c:v>
                </c:pt>
                <c:pt idx="38">
                  <c:v>3800</c:v>
                </c:pt>
                <c:pt idx="39">
                  <c:v>3900</c:v>
                </c:pt>
                <c:pt idx="40">
                  <c:v>4000</c:v>
                </c:pt>
                <c:pt idx="41">
                  <c:v>4100</c:v>
                </c:pt>
                <c:pt idx="42">
                  <c:v>4200</c:v>
                </c:pt>
                <c:pt idx="43">
                  <c:v>4300</c:v>
                </c:pt>
                <c:pt idx="44">
                  <c:v>4400</c:v>
                </c:pt>
                <c:pt idx="45">
                  <c:v>4500</c:v>
                </c:pt>
                <c:pt idx="46">
                  <c:v>4600</c:v>
                </c:pt>
                <c:pt idx="47">
                  <c:v>4700</c:v>
                </c:pt>
                <c:pt idx="48">
                  <c:v>4800</c:v>
                </c:pt>
                <c:pt idx="49">
                  <c:v>4900</c:v>
                </c:pt>
                <c:pt idx="50">
                  <c:v>5000</c:v>
                </c:pt>
                <c:pt idx="51">
                  <c:v>5100</c:v>
                </c:pt>
                <c:pt idx="52">
                  <c:v>5200</c:v>
                </c:pt>
                <c:pt idx="53">
                  <c:v>5300</c:v>
                </c:pt>
                <c:pt idx="54">
                  <c:v>5400</c:v>
                </c:pt>
                <c:pt idx="55">
                  <c:v>5500</c:v>
                </c:pt>
                <c:pt idx="56">
                  <c:v>5600</c:v>
                </c:pt>
                <c:pt idx="57">
                  <c:v>5700</c:v>
                </c:pt>
                <c:pt idx="58">
                  <c:v>5800</c:v>
                </c:pt>
                <c:pt idx="59">
                  <c:v>5900</c:v>
                </c:pt>
                <c:pt idx="60">
                  <c:v>6000</c:v>
                </c:pt>
                <c:pt idx="61">
                  <c:v>6100</c:v>
                </c:pt>
                <c:pt idx="62">
                  <c:v>6200</c:v>
                </c:pt>
                <c:pt idx="63">
                  <c:v>6300</c:v>
                </c:pt>
                <c:pt idx="64">
                  <c:v>6400</c:v>
                </c:pt>
                <c:pt idx="65">
                  <c:v>6500</c:v>
                </c:pt>
                <c:pt idx="66">
                  <c:v>6600</c:v>
                </c:pt>
                <c:pt idx="67">
                  <c:v>6700</c:v>
                </c:pt>
                <c:pt idx="68">
                  <c:v>6800</c:v>
                </c:pt>
                <c:pt idx="69">
                  <c:v>6900</c:v>
                </c:pt>
                <c:pt idx="70">
                  <c:v>7000</c:v>
                </c:pt>
                <c:pt idx="71">
                  <c:v>7100</c:v>
                </c:pt>
                <c:pt idx="72">
                  <c:v>7200</c:v>
                </c:pt>
                <c:pt idx="73">
                  <c:v>7300</c:v>
                </c:pt>
                <c:pt idx="74">
                  <c:v>7400</c:v>
                </c:pt>
                <c:pt idx="75">
                  <c:v>7500</c:v>
                </c:pt>
                <c:pt idx="76">
                  <c:v>7600</c:v>
                </c:pt>
                <c:pt idx="77">
                  <c:v>7700</c:v>
                </c:pt>
                <c:pt idx="78">
                  <c:v>7800</c:v>
                </c:pt>
                <c:pt idx="79">
                  <c:v>7900</c:v>
                </c:pt>
                <c:pt idx="80">
                  <c:v>8000</c:v>
                </c:pt>
                <c:pt idx="81">
                  <c:v>8100</c:v>
                </c:pt>
                <c:pt idx="82">
                  <c:v>8200</c:v>
                </c:pt>
                <c:pt idx="83">
                  <c:v>8300</c:v>
                </c:pt>
                <c:pt idx="84">
                  <c:v>8400</c:v>
                </c:pt>
                <c:pt idx="85">
                  <c:v>8500</c:v>
                </c:pt>
                <c:pt idx="86">
                  <c:v>8600</c:v>
                </c:pt>
                <c:pt idx="87">
                  <c:v>8700</c:v>
                </c:pt>
                <c:pt idx="88">
                  <c:v>8800</c:v>
                </c:pt>
                <c:pt idx="89">
                  <c:v>8900</c:v>
                </c:pt>
                <c:pt idx="90">
                  <c:v>9000</c:v>
                </c:pt>
                <c:pt idx="91">
                  <c:v>9100</c:v>
                </c:pt>
                <c:pt idx="92">
                  <c:v>9200</c:v>
                </c:pt>
                <c:pt idx="93">
                  <c:v>9300</c:v>
                </c:pt>
                <c:pt idx="94">
                  <c:v>9400</c:v>
                </c:pt>
                <c:pt idx="95">
                  <c:v>9500</c:v>
                </c:pt>
                <c:pt idx="96">
                  <c:v>9600</c:v>
                </c:pt>
                <c:pt idx="97">
                  <c:v>9700</c:v>
                </c:pt>
                <c:pt idx="98">
                  <c:v>9800</c:v>
                </c:pt>
                <c:pt idx="99">
                  <c:v>9900</c:v>
                </c:pt>
                <c:pt idx="100">
                  <c:v>10000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3D5-4958-A97A-128823DA00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7506912"/>
        <c:axId val="1907504512"/>
      </c:scatterChart>
      <c:valAx>
        <c:axId val="1907506912"/>
        <c:scaling>
          <c:orientation val="minMax"/>
          <c:max val="1"/>
          <c:min val="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strRef>
              <c:f>Sheet1!$F$23</c:f>
              <c:strCache>
                <c:ptCount val="1"/>
                <c:pt idx="0">
                  <c:v>LHOLDUP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7504512"/>
        <c:crosses val="autoZero"/>
        <c:crossBetween val="midCat"/>
      </c:valAx>
      <c:valAx>
        <c:axId val="1907504512"/>
        <c:scaling>
          <c:orientation val="maxMin"/>
          <c:max val="1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strRef>
              <c:f>Sheet1!$B$23</c:f>
              <c:strCache>
                <c:ptCount val="1"/>
                <c:pt idx="0">
                  <c:v>Depth ft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75069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0.10930424321959754"/>
                  <c:y val="-0.467375692621755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Sheet2!$E$6:$E$14</c:f>
              <c:numCache>
                <c:formatCode>0.00%</c:formatCode>
                <c:ptCount val="9"/>
                <c:pt idx="0">
                  <c:v>5.0000000447654035E-2</c:v>
                </c:pt>
                <c:pt idx="1">
                  <c:v>0.10000000006488868</c:v>
                </c:pt>
                <c:pt idx="2">
                  <c:v>0.14995533705513092</c:v>
                </c:pt>
                <c:pt idx="3">
                  <c:v>0.20000000062391649</c:v>
                </c:pt>
                <c:pt idx="4">
                  <c:v>0.24957319478613779</c:v>
                </c:pt>
                <c:pt idx="5">
                  <c:v>0.29978937886731127</c:v>
                </c:pt>
                <c:pt idx="6">
                  <c:v>0.34964637025256229</c:v>
                </c:pt>
                <c:pt idx="7">
                  <c:v>0.40029985101107074</c:v>
                </c:pt>
                <c:pt idx="8">
                  <c:v>0.45007534931881166</c:v>
                </c:pt>
              </c:numCache>
            </c:numRef>
          </c:xVal>
          <c:yVal>
            <c:numRef>
              <c:f>Sheet2!$D$6:$D$14</c:f>
              <c:numCache>
                <c:formatCode>General</c:formatCode>
                <c:ptCount val="9"/>
                <c:pt idx="0">
                  <c:v>3380383.6909760544</c:v>
                </c:pt>
                <c:pt idx="1">
                  <c:v>6343436.0068696318</c:v>
                </c:pt>
                <c:pt idx="2">
                  <c:v>8812422.436802078</c:v>
                </c:pt>
                <c:pt idx="3">
                  <c:v>10704548.295616833</c:v>
                </c:pt>
                <c:pt idx="4">
                  <c:v>11866883.787111493</c:v>
                </c:pt>
                <c:pt idx="5">
                  <c:v>12221503.169596095</c:v>
                </c:pt>
                <c:pt idx="6">
                  <c:v>11510065.511940602</c:v>
                </c:pt>
                <c:pt idx="7">
                  <c:v>9527047.98309898</c:v>
                </c:pt>
                <c:pt idx="8">
                  <c:v>5840622.3333746726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BD0-4FA3-BA6C-47150726F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4250640"/>
        <c:axId val="494247760"/>
      </c:scatterChart>
      <c:valAx>
        <c:axId val="494250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4247760"/>
        <c:crosses val="autoZero"/>
        <c:crossBetween val="midCat"/>
      </c:valAx>
      <c:valAx>
        <c:axId val="494247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42506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Sheet2!$E$18</c:f>
              <c:strCache>
                <c:ptCount val="1"/>
                <c:pt idx="0">
                  <c:v>GVF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Sheet2!$C$19:$C$28</c:f>
              <c:numCache>
                <c:formatCode>0</c:formatCode>
                <c:ptCount val="10"/>
                <c:pt idx="0">
                  <c:v>20</c:v>
                </c:pt>
                <c:pt idx="1">
                  <c:v>75.119637577245655</c:v>
                </c:pt>
                <c:pt idx="2">
                  <c:v>158.5859001717408</c:v>
                </c:pt>
                <c:pt idx="3">
                  <c:v>251.7834981943451</c:v>
                </c:pt>
                <c:pt idx="4">
                  <c:v>356.81827652056114</c:v>
                </c:pt>
                <c:pt idx="5">
                  <c:v>474.67535148445972</c:v>
                </c:pt>
                <c:pt idx="6">
                  <c:v>611.07515847980471</c:v>
                </c:pt>
                <c:pt idx="7">
                  <c:v>767.33770079604017</c:v>
                </c:pt>
                <c:pt idx="8">
                  <c:v>952.70479830989802</c:v>
                </c:pt>
                <c:pt idx="9">
                  <c:v>1168.1244666749344</c:v>
                </c:pt>
              </c:numCache>
            </c:numRef>
          </c:xVal>
          <c:yVal>
            <c:numRef>
              <c:f>Sheet2!$E$19:$E$28</c:f>
              <c:numCache>
                <c:formatCode>0%</c:formatCode>
                <c:ptCount val="10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0.15000000000000002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0.39999999999999997</c:v>
                </c:pt>
                <c:pt idx="9">
                  <c:v>0.44999999999999996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44D-44BB-94CD-EDA32DA730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4039440"/>
        <c:axId val="494023120"/>
      </c:scatterChart>
      <c:valAx>
        <c:axId val="494039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4023120"/>
        <c:crosses val="autoZero"/>
        <c:crossBetween val="midCat"/>
      </c:valAx>
      <c:valAx>
        <c:axId val="494023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40394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Sheet2!$D$18</c:f>
              <c:strCache>
                <c:ptCount val="1"/>
                <c:pt idx="0">
                  <c:v>Ql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Sheet2!$C$19:$C$28</c:f>
              <c:numCache>
                <c:formatCode>0</c:formatCode>
                <c:ptCount val="10"/>
                <c:pt idx="0">
                  <c:v>20</c:v>
                </c:pt>
                <c:pt idx="1">
                  <c:v>75.119637577245655</c:v>
                </c:pt>
                <c:pt idx="2">
                  <c:v>158.5859001717408</c:v>
                </c:pt>
                <c:pt idx="3">
                  <c:v>251.7834981943451</c:v>
                </c:pt>
                <c:pt idx="4">
                  <c:v>356.81827652056114</c:v>
                </c:pt>
                <c:pt idx="5">
                  <c:v>474.67535148445972</c:v>
                </c:pt>
                <c:pt idx="6">
                  <c:v>611.07515847980471</c:v>
                </c:pt>
                <c:pt idx="7">
                  <c:v>767.33770079604017</c:v>
                </c:pt>
                <c:pt idx="8">
                  <c:v>952.70479830989802</c:v>
                </c:pt>
                <c:pt idx="9">
                  <c:v>1168.1244666749344</c:v>
                </c:pt>
              </c:numCache>
            </c:numRef>
          </c:xVal>
          <c:yVal>
            <c:numRef>
              <c:f>Sheet2!$D$19:$D$28</c:f>
              <c:numCache>
                <c:formatCode>General</c:formatCode>
                <c:ptCount val="10"/>
                <c:pt idx="0">
                  <c:v>50000</c:v>
                </c:pt>
                <c:pt idx="1">
                  <c:v>45000</c:v>
                </c:pt>
                <c:pt idx="2">
                  <c:v>40000</c:v>
                </c:pt>
                <c:pt idx="3">
                  <c:v>35000</c:v>
                </c:pt>
                <c:pt idx="4">
                  <c:v>30000</c:v>
                </c:pt>
                <c:pt idx="5">
                  <c:v>25000</c:v>
                </c:pt>
                <c:pt idx="6">
                  <c:v>20000</c:v>
                </c:pt>
                <c:pt idx="7">
                  <c:v>15000</c:v>
                </c:pt>
                <c:pt idx="8">
                  <c:v>10000</c:v>
                </c:pt>
                <c:pt idx="9">
                  <c:v>5000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D17-4251-9AE6-AEF9E78D95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4275600"/>
        <c:axId val="494276080"/>
      </c:scatterChart>
      <c:valAx>
        <c:axId val="494275600"/>
        <c:scaling>
          <c:logBase val="10"/>
          <c:orientation val="minMax"/>
          <c:max val="100000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4276080"/>
        <c:crosses val="autoZero"/>
        <c:crossBetween val="midCat"/>
      </c:valAx>
      <c:valAx>
        <c:axId val="494276080"/>
        <c:scaling>
          <c:logBase val="10"/>
          <c:orientation val="minMax"/>
          <c:max val="100000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42756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3"/>
          <c:order val="0"/>
          <c:tx>
            <c:strRef>
              <c:f>Sheet3!$B$11</c:f>
              <c:strCache>
                <c:ptCount val="1"/>
                <c:pt idx="0">
                  <c:v>150 psig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Sheet3!$E$4:$N$4</c:f>
              <c:numCache>
                <c:formatCode>#\ ?/?</c:formatCode>
                <c:ptCount val="10"/>
                <c:pt idx="0">
                  <c:v>1.25</c:v>
                </c:pt>
                <c:pt idx="1">
                  <c:v>1.5</c:v>
                </c:pt>
                <c:pt idx="2">
                  <c:v>1.75</c:v>
                </c:pt>
                <c:pt idx="3">
                  <c:v>1.9</c:v>
                </c:pt>
                <c:pt idx="4">
                  <c:v>2.375</c:v>
                </c:pt>
                <c:pt idx="5">
                  <c:v>2.875</c:v>
                </c:pt>
                <c:pt idx="6">
                  <c:v>3.5</c:v>
                </c:pt>
                <c:pt idx="7">
                  <c:v>4.5</c:v>
                </c:pt>
                <c:pt idx="8">
                  <c:v>5.5</c:v>
                </c:pt>
                <c:pt idx="9">
                  <c:v>7</c:v>
                </c:pt>
              </c:numCache>
            </c:numRef>
          </c:xVal>
          <c:yVal>
            <c:numRef>
              <c:f>Sheet3!$E$11:$N$11</c:f>
              <c:numCache>
                <c:formatCode>#,##0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649-4923-9A7E-E848BC3B1E1F}"/>
            </c:ext>
          </c:extLst>
        </c:ser>
        <c:ser>
          <c:idx val="2"/>
          <c:order val="1"/>
          <c:tx>
            <c:strRef>
              <c:f>Sheet3!$B$10</c:f>
              <c:strCache>
                <c:ptCount val="1"/>
                <c:pt idx="0">
                  <c:v>50 psig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Sheet3!$E$4:$N$4</c:f>
              <c:numCache>
                <c:formatCode>#\ ?/?</c:formatCode>
                <c:ptCount val="10"/>
                <c:pt idx="0">
                  <c:v>1.25</c:v>
                </c:pt>
                <c:pt idx="1">
                  <c:v>1.5</c:v>
                </c:pt>
                <c:pt idx="2">
                  <c:v>1.75</c:v>
                </c:pt>
                <c:pt idx="3">
                  <c:v>1.9</c:v>
                </c:pt>
                <c:pt idx="4">
                  <c:v>2.375</c:v>
                </c:pt>
                <c:pt idx="5">
                  <c:v>2.875</c:v>
                </c:pt>
                <c:pt idx="6">
                  <c:v>3.5</c:v>
                </c:pt>
                <c:pt idx="7">
                  <c:v>4.5</c:v>
                </c:pt>
                <c:pt idx="8">
                  <c:v>5.5</c:v>
                </c:pt>
                <c:pt idx="9">
                  <c:v>7</c:v>
                </c:pt>
              </c:numCache>
            </c:numRef>
          </c:xVal>
          <c:yVal>
            <c:numRef>
              <c:f>Sheet3!$E$10:$N$10</c:f>
              <c:numCache>
                <c:formatCode>#,##0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649-4923-9A7E-E848BC3B1E1F}"/>
            </c:ext>
          </c:extLst>
        </c:ser>
        <c:ser>
          <c:idx val="1"/>
          <c:order val="2"/>
          <c:tx>
            <c:strRef>
              <c:f>Sheet3!$B$9</c:f>
              <c:strCache>
                <c:ptCount val="1"/>
                <c:pt idx="0">
                  <c:v>30 psig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Sheet3!$E$4:$N$4</c:f>
              <c:numCache>
                <c:formatCode>#\ ?/?</c:formatCode>
                <c:ptCount val="10"/>
                <c:pt idx="0">
                  <c:v>1.25</c:v>
                </c:pt>
                <c:pt idx="1">
                  <c:v>1.5</c:v>
                </c:pt>
                <c:pt idx="2">
                  <c:v>1.75</c:v>
                </c:pt>
                <c:pt idx="3">
                  <c:v>1.9</c:v>
                </c:pt>
                <c:pt idx="4">
                  <c:v>2.375</c:v>
                </c:pt>
                <c:pt idx="5">
                  <c:v>2.875</c:v>
                </c:pt>
                <c:pt idx="6">
                  <c:v>3.5</c:v>
                </c:pt>
                <c:pt idx="7">
                  <c:v>4.5</c:v>
                </c:pt>
                <c:pt idx="8">
                  <c:v>5.5</c:v>
                </c:pt>
                <c:pt idx="9">
                  <c:v>7</c:v>
                </c:pt>
              </c:numCache>
            </c:numRef>
          </c:xVal>
          <c:yVal>
            <c:numRef>
              <c:f>Sheet3!$E$9:$N$9</c:f>
              <c:numCache>
                <c:formatCode>#,##0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649-4923-9A7E-E848BC3B1E1F}"/>
            </c:ext>
          </c:extLst>
        </c:ser>
        <c:ser>
          <c:idx val="0"/>
          <c:order val="3"/>
          <c:tx>
            <c:strRef>
              <c:f>Sheet3!$B$8</c:f>
              <c:strCache>
                <c:ptCount val="1"/>
                <c:pt idx="0">
                  <c:v>10 psig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Sheet3!$E$4:$N$4</c:f>
              <c:numCache>
                <c:formatCode>#\ ?/?</c:formatCode>
                <c:ptCount val="10"/>
                <c:pt idx="0">
                  <c:v>1.25</c:v>
                </c:pt>
                <c:pt idx="1">
                  <c:v>1.5</c:v>
                </c:pt>
                <c:pt idx="2">
                  <c:v>1.75</c:v>
                </c:pt>
                <c:pt idx="3">
                  <c:v>1.9</c:v>
                </c:pt>
                <c:pt idx="4">
                  <c:v>2.375</c:v>
                </c:pt>
                <c:pt idx="5">
                  <c:v>2.875</c:v>
                </c:pt>
                <c:pt idx="6">
                  <c:v>3.5</c:v>
                </c:pt>
                <c:pt idx="7">
                  <c:v>4.5</c:v>
                </c:pt>
                <c:pt idx="8">
                  <c:v>5.5</c:v>
                </c:pt>
                <c:pt idx="9">
                  <c:v>7</c:v>
                </c:pt>
              </c:numCache>
            </c:numRef>
          </c:xVal>
          <c:yVal>
            <c:numRef>
              <c:f>Sheet3!$E$8:$N$8</c:f>
              <c:numCache>
                <c:formatCode>#,##0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649-4923-9A7E-E848BC3B1E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7270271"/>
        <c:axId val="2097270751"/>
      </c:scatterChart>
      <c:valAx>
        <c:axId val="2097270271"/>
        <c:scaling>
          <c:logBase val="10"/>
          <c:orientation val="minMax"/>
          <c:max val="10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Tubing ID [inch]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\ ?/?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7270751"/>
        <c:crosses val="autoZero"/>
        <c:crossBetween val="midCat"/>
      </c:valAx>
      <c:valAx>
        <c:axId val="2097270751"/>
        <c:scaling>
          <c:logBase val="10"/>
          <c:orientation val="minMax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strRef>
              <c:f>Sheet3!$A$6</c:f>
              <c:strCache>
                <c:ptCount val="1"/>
                <c:pt idx="0">
                  <c:v>qg[scf]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72702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11</xdr:col>
      <xdr:colOff>203200</xdr:colOff>
      <xdr:row>20</xdr:row>
      <xdr:rowOff>76200</xdr:rowOff>
    </xdr:from>
    <xdr:to>
      <xdr:col>15</xdr:col>
      <xdr:colOff>0</xdr:colOff>
      <xdr:row>38</xdr:row>
      <xdr:rowOff>171450</xdr:rowOff>
    </xdr:to>
    <xdr:graphicFrame macro="">
      <xdr:nvGraphicFramePr>
        <xdr:cNvPr id="13" name="Chart 2">
          <a:extLst>
            <a:ext uri="{FF2B5EF4-FFF2-40B4-BE49-F238E27FC236}">
              <a16:creationId xmlns:a16="http://schemas.microsoft.com/office/drawing/2014/main" id="{CC6A4494-025F-4953-AB6A-BF92E72712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4</xdr:col>
      <xdr:colOff>12700</xdr:colOff>
      <xdr:row>0</xdr:row>
      <xdr:rowOff>0</xdr:rowOff>
    </xdr:from>
    <xdr:to>
      <xdr:col>7</xdr:col>
      <xdr:colOff>500380</xdr:colOff>
      <xdr:row>18</xdr:row>
      <xdr:rowOff>19050</xdr:rowOff>
    </xdr:to>
    <xdr:graphicFrame macro="">
      <xdr:nvGraphicFramePr>
        <xdr:cNvPr id="11" name="Chart 3">
          <a:extLst>
            <a:ext uri="{FF2B5EF4-FFF2-40B4-BE49-F238E27FC236}">
              <a16:creationId xmlns:a16="http://schemas.microsoft.com/office/drawing/2014/main" id="{43F674CD-1922-B6C9-FC6A-DFD7AB22B2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11</xdr:col>
      <xdr:colOff>165100</xdr:colOff>
      <xdr:row>0</xdr:row>
      <xdr:rowOff>0</xdr:rowOff>
    </xdr:from>
    <xdr:to>
      <xdr:col>14</xdr:col>
      <xdr:colOff>652780</xdr:colOff>
      <xdr:row>18</xdr:row>
      <xdr:rowOff>25400</xdr:rowOff>
    </xdr:to>
    <xdr:graphicFrame macro="">
      <xdr:nvGraphicFramePr>
        <xdr:cNvPr id="8" name="Chart 4">
          <a:extLst>
            <a:ext uri="{FF2B5EF4-FFF2-40B4-BE49-F238E27FC236}">
              <a16:creationId xmlns:a16="http://schemas.microsoft.com/office/drawing/2014/main" id="{FFF1FDB5-1CF6-49F0-851C-FB059D9224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absolute">
    <xdr:from>
      <xdr:col>7</xdr:col>
      <xdr:colOff>488950</xdr:colOff>
      <xdr:row>0</xdr:row>
      <xdr:rowOff>0</xdr:rowOff>
    </xdr:from>
    <xdr:to>
      <xdr:col>11</xdr:col>
      <xdr:colOff>163830</xdr:colOff>
      <xdr:row>18</xdr:row>
      <xdr:rowOff>19050</xdr:rowOff>
    </xdr:to>
    <xdr:graphicFrame macro="">
      <xdr:nvGraphicFramePr>
        <xdr:cNvPr id="14" name="Chart 3">
          <a:extLst>
            <a:ext uri="{FF2B5EF4-FFF2-40B4-BE49-F238E27FC236}">
              <a16:creationId xmlns:a16="http://schemas.microsoft.com/office/drawing/2014/main" id="{284AD82C-CE11-46DB-AE05-09E499CA00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195729</xdr:colOff>
      <xdr:row>18</xdr:row>
      <xdr:rowOff>104962</xdr:rowOff>
    </xdr:from>
    <xdr:to>
      <xdr:col>18</xdr:col>
      <xdr:colOff>67235</xdr:colOff>
      <xdr:row>38</xdr:row>
      <xdr:rowOff>194236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C8380177-08B5-A5CC-4EC9-379DDEC037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absolute">
    <xdr:from>
      <xdr:col>14</xdr:col>
      <xdr:colOff>660400</xdr:colOff>
      <xdr:row>0</xdr:row>
      <xdr:rowOff>0</xdr:rowOff>
    </xdr:from>
    <xdr:to>
      <xdr:col>18</xdr:col>
      <xdr:colOff>335280</xdr:colOff>
      <xdr:row>18</xdr:row>
      <xdr:rowOff>25400</xdr:rowOff>
    </xdr:to>
    <xdr:graphicFrame macro="">
      <xdr:nvGraphicFramePr>
        <xdr:cNvPr id="16" name="Chart 4">
          <a:extLst>
            <a:ext uri="{FF2B5EF4-FFF2-40B4-BE49-F238E27FC236}">
              <a16:creationId xmlns:a16="http://schemas.microsoft.com/office/drawing/2014/main" id="{AE588273-6BE7-41AA-BF57-E830F5F560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133350</xdr:colOff>
      <xdr:row>0</xdr:row>
      <xdr:rowOff>206375</xdr:rowOff>
    </xdr:from>
    <xdr:to>
      <xdr:col>15</xdr:col>
      <xdr:colOff>685799</xdr:colOff>
      <xdr:row>11</xdr:row>
      <xdr:rowOff>25401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FC9AAE-BCDF-3DCF-D169-6F601E48A4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161925</xdr:colOff>
      <xdr:row>11</xdr:row>
      <xdr:rowOff>117475</xdr:rowOff>
    </xdr:from>
    <xdr:to>
      <xdr:col>15</xdr:col>
      <xdr:colOff>669925</xdr:colOff>
      <xdr:row>23</xdr:row>
      <xdr:rowOff>193675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C3BD501-6D0A-3617-E982-C02BA7CB25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307975</xdr:colOff>
      <xdr:row>25</xdr:row>
      <xdr:rowOff>190500</xdr:rowOff>
    </xdr:from>
    <xdr:to>
      <xdr:col>16</xdr:col>
      <xdr:colOff>723901</xdr:colOff>
      <xdr:row>41</xdr:row>
      <xdr:rowOff>44449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4B34FF0-3290-4E48-3E06-9AEFF905BB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746124</xdr:colOff>
      <xdr:row>14</xdr:row>
      <xdr:rowOff>9524</xdr:rowOff>
    </xdr:from>
    <xdr:to>
      <xdr:col>11</xdr:col>
      <xdr:colOff>336549</xdr:colOff>
      <xdr:row>36</xdr:row>
      <xdr:rowOff>126999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AC6508-5323-4DAC-25A6-CCDAC06167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7739F-2965-46CA-A326-C55822D70EA9}">
  <sheetPr codeName="Sheet1"/>
  <dimension ref="A2:O124"/>
  <sheetViews>
    <sheetView tabSelected="1" zoomScale="85" zoomScaleNormal="85" workbookViewId="0">
      <selection activeCell="D4" sqref="D4"/>
    </sheetView>
  </sheetViews>
  <sheetFormatPr defaultRowHeight="17.5" x14ac:dyDescent="0.45"/>
  <cols>
    <col min="1" max="1" width="42.35546875" bestFit="1" customWidth="1"/>
    <col min="2" max="3" width="9.92578125" customWidth="1"/>
  </cols>
  <sheetData>
    <row r="2" spans="1:4" x14ac:dyDescent="0.45">
      <c r="A2" t="s">
        <v>0</v>
      </c>
      <c r="B2">
        <v>10000</v>
      </c>
      <c r="C2" t="s">
        <v>29</v>
      </c>
    </row>
    <row r="3" spans="1:4" x14ac:dyDescent="0.45">
      <c r="A3" t="s">
        <v>1</v>
      </c>
      <c r="B3">
        <v>2.2589999999999999</v>
      </c>
      <c r="C3" t="s">
        <v>30</v>
      </c>
      <c r="D3">
        <f>(PI()/4)*($B$3/12)^2</f>
        <v>2.7832989201863983E-2</v>
      </c>
    </row>
    <row r="4" spans="1:4" x14ac:dyDescent="0.45">
      <c r="A4" t="s">
        <v>2</v>
      </c>
      <c r="B4">
        <v>45.38</v>
      </c>
      <c r="C4" t="s">
        <v>34</v>
      </c>
      <c r="D4" s="3">
        <f>(141.5 / (131.5 + B4))</f>
        <v>0.79997738579828137</v>
      </c>
    </row>
    <row r="5" spans="1:4" x14ac:dyDescent="0.45">
      <c r="A5" t="s">
        <v>4</v>
      </c>
      <c r="B5">
        <v>0.70899999999999996</v>
      </c>
      <c r="C5" t="s">
        <v>31</v>
      </c>
    </row>
    <row r="6" spans="1:4" x14ac:dyDescent="0.45">
      <c r="A6" t="s">
        <v>5</v>
      </c>
      <c r="B6">
        <v>800</v>
      </c>
      <c r="C6" t="s">
        <v>19</v>
      </c>
    </row>
    <row r="7" spans="1:4" x14ac:dyDescent="0.45">
      <c r="A7" t="s">
        <v>6</v>
      </c>
      <c r="B7">
        <v>90</v>
      </c>
      <c r="C7" t="s">
        <v>35</v>
      </c>
    </row>
    <row r="8" spans="1:4" x14ac:dyDescent="0.45">
      <c r="A8" t="s">
        <v>7</v>
      </c>
      <c r="B8">
        <v>175</v>
      </c>
      <c r="C8" t="s">
        <v>35</v>
      </c>
    </row>
    <row r="9" spans="1:4" x14ac:dyDescent="0.45">
      <c r="A9" t="s">
        <v>8</v>
      </c>
      <c r="B9">
        <v>2000</v>
      </c>
      <c r="C9" t="s">
        <v>33</v>
      </c>
    </row>
    <row r="10" spans="1:4" x14ac:dyDescent="0.45">
      <c r="A10" t="s">
        <v>3</v>
      </c>
      <c r="B10">
        <v>500</v>
      </c>
      <c r="C10" t="s">
        <v>32</v>
      </c>
    </row>
    <row r="11" spans="1:4" x14ac:dyDescent="0.45">
      <c r="A11" t="s">
        <v>9</v>
      </c>
      <c r="B11">
        <v>0</v>
      </c>
      <c r="C11" t="s">
        <v>37</v>
      </c>
    </row>
    <row r="12" spans="1:4" x14ac:dyDescent="0.45">
      <c r="A12" t="s">
        <v>17</v>
      </c>
      <c r="B12">
        <f>(B11/100)*B9</f>
        <v>0</v>
      </c>
      <c r="C12" t="s">
        <v>18</v>
      </c>
    </row>
    <row r="13" spans="1:4" x14ac:dyDescent="0.45">
      <c r="A13" t="s">
        <v>13</v>
      </c>
      <c r="B13">
        <f>B10*B9</f>
        <v>1000000</v>
      </c>
      <c r="C13" t="s">
        <v>36</v>
      </c>
    </row>
    <row r="14" spans="1:4" x14ac:dyDescent="0.45">
      <c r="A14" t="s">
        <v>15</v>
      </c>
      <c r="B14" s="1" cm="1">
        <f t="array" ref="B14">_xll.StandingSolutionGasOil(B4, B5)/2</f>
        <v>753.10499308735132</v>
      </c>
    </row>
    <row r="15" spans="1:4" x14ac:dyDescent="0.45">
      <c r="A15" t="s">
        <v>14</v>
      </c>
      <c r="B15" s="1" cm="1">
        <f t="array" ref="B15">_xll.VelardeBubblePoint(B7, B4, B5, B14)</f>
        <v>2109.1175111984317</v>
      </c>
    </row>
    <row r="16" spans="1:4" x14ac:dyDescent="0.45">
      <c r="A16" t="s">
        <v>10</v>
      </c>
      <c r="B16">
        <v>30</v>
      </c>
      <c r="C16" t="s">
        <v>38</v>
      </c>
    </row>
    <row r="17" spans="1:15" x14ac:dyDescent="0.45">
      <c r="A17" t="s">
        <v>11</v>
      </c>
      <c r="B17">
        <v>1.05</v>
      </c>
      <c r="C17" t="s">
        <v>39</v>
      </c>
    </row>
    <row r="18" spans="1:15" x14ac:dyDescent="0.45">
      <c r="A18" s="4" t="s">
        <v>20</v>
      </c>
      <c r="B18" s="1" cm="1">
        <f t="array" ref="B18">_xll.StaticBHP(B2, B6, B5, B2, ((B7+B8)/2)+459.67)</f>
        <v>1035.1841899118415</v>
      </c>
      <c r="C18" t="s">
        <v>19</v>
      </c>
    </row>
    <row r="19" spans="1:15" x14ac:dyDescent="0.45">
      <c r="A19" s="4" t="s">
        <v>24</v>
      </c>
      <c r="B19" s="3" cm="1">
        <f t="array" ref="B19">_xll.GasZKatz(B6, B7+459.67, B5)</f>
        <v>0.84999195714702724</v>
      </c>
    </row>
    <row r="20" spans="1:15" x14ac:dyDescent="0.45">
      <c r="A20" s="4" t="s">
        <v>62</v>
      </c>
      <c r="B20" s="3" cm="1">
        <f t="array" ref="B20">_xll.GasZKatz(B18, B7+459.67, B5)</f>
        <v>0.80880108207547829</v>
      </c>
    </row>
    <row r="21" spans="1:15" x14ac:dyDescent="0.45">
      <c r="A21" s="4" t="s">
        <v>40</v>
      </c>
      <c r="B21" s="7">
        <v>101</v>
      </c>
    </row>
    <row r="23" spans="1:15" ht="52.5" x14ac:dyDescent="0.45">
      <c r="A23" s="4" t="s">
        <v>41</v>
      </c>
      <c r="B23" s="6" t="s">
        <v>21</v>
      </c>
      <c r="C23" s="6" t="s">
        <v>26</v>
      </c>
      <c r="D23" s="6" t="s">
        <v>27</v>
      </c>
      <c r="E23" s="6" t="s">
        <v>28</v>
      </c>
      <c r="F23" s="6" t="s">
        <v>16</v>
      </c>
      <c r="G23" s="6" t="s">
        <v>22</v>
      </c>
      <c r="H23" s="6" t="s">
        <v>23</v>
      </c>
      <c r="I23" s="6" t="s">
        <v>63</v>
      </c>
      <c r="J23" s="6" t="s">
        <v>61</v>
      </c>
      <c r="K23" s="6" t="s">
        <v>64</v>
      </c>
    </row>
    <row r="24" spans="1:15" x14ac:dyDescent="0.45">
      <c r="A24">
        <v>1</v>
      </c>
      <c r="B24" s="2" cm="1">
        <f t="array" ref="B24:H124">_xll.HagedornBrown(B2,B3,B15,B14,D4,B5,B17,B16,B6,B7,B8,B9,B12,B13,$B$21)</f>
        <v>0</v>
      </c>
      <c r="C24" s="2">
        <v>800</v>
      </c>
      <c r="D24" s="2">
        <v>90</v>
      </c>
      <c r="E24" s="1">
        <v>3.2776920253988111</v>
      </c>
      <c r="F24" s="1">
        <v>0.50726137203171839</v>
      </c>
      <c r="G24" s="1">
        <v>4.6698847511192678</v>
      </c>
      <c r="H24" s="1">
        <v>6.869782050124762</v>
      </c>
      <c r="I24" s="1" cm="1">
        <f t="array" ref="I24">_xll.Turner.GasVelocityWater($B$5,C24,D24+459.67)</f>
        <v>8.7820440916806</v>
      </c>
      <c r="J24" s="1" cm="1">
        <f t="array" ref="J24">_xll.Turner.GasRateStd(I24, $D$3, C24, D24+459.67, $B$5)</f>
        <v>1.2807077184055957</v>
      </c>
      <c r="K24" s="1">
        <f>H24/I24</f>
        <v>0.78225319508844637</v>
      </c>
    </row>
    <row r="25" spans="1:15" x14ac:dyDescent="0.45">
      <c r="A25">
        <f>A24+1</f>
        <v>2</v>
      </c>
      <c r="B25" s="2">
        <v>100</v>
      </c>
      <c r="C25" s="2">
        <v>822.4180509745604</v>
      </c>
      <c r="D25" s="2">
        <v>90.85</v>
      </c>
      <c r="E25" s="1">
        <v>3.2776920253988111</v>
      </c>
      <c r="F25" s="1">
        <v>0.50726137203171839</v>
      </c>
      <c r="G25" s="1">
        <v>4.6698847511192678</v>
      </c>
      <c r="H25" s="1">
        <v>6.869782050124762</v>
      </c>
      <c r="I25" s="1" cm="1">
        <f t="array" ref="I25">_xll.Turner.GasVelocityWater($B$5,C25,D25+459.67)</f>
        <v>8.6487004389213364</v>
      </c>
      <c r="J25" s="1" cm="1">
        <f t="array" ref="J25">_xll.Turner.GasRateStd(I25, $D$3, C25, D25+459.67, $B$5)</f>
        <v>1.2994432207323556</v>
      </c>
      <c r="K25" s="1">
        <f t="shared" ref="K25:K88" si="0">H25/I25</f>
        <v>0.79431379299588267</v>
      </c>
    </row>
    <row r="26" spans="1:15" x14ac:dyDescent="0.45">
      <c r="A26">
        <f t="shared" ref="A26:A89" si="1">A25+1</f>
        <v>3</v>
      </c>
      <c r="B26" s="2">
        <v>200</v>
      </c>
      <c r="C26" s="2">
        <v>844.94865213359549</v>
      </c>
      <c r="D26" s="2">
        <v>91.7</v>
      </c>
      <c r="E26" s="1">
        <v>3.376915423397878</v>
      </c>
      <c r="F26" s="1">
        <v>0.51022349965184699</v>
      </c>
      <c r="G26" s="1">
        <v>4.6698847511192678</v>
      </c>
      <c r="H26" s="1">
        <v>6.6679282773582225</v>
      </c>
      <c r="I26" s="1" cm="1">
        <f t="array" ref="I26">_xll.Turner.GasVelocityWater($B$5,C26,D26+459.67)</f>
        <v>8.5201322050799071</v>
      </c>
      <c r="J26" s="1" cm="1">
        <f t="array" ref="J26">_xll.Turner.GasRateStd(I26, $D$3, C26, D26+459.67, $B$5)</f>
        <v>1.3180179535565788</v>
      </c>
      <c r="K26" s="1">
        <f t="shared" si="0"/>
        <v>0.78260854607193109</v>
      </c>
    </row>
    <row r="27" spans="1:15" x14ac:dyDescent="0.45">
      <c r="A27">
        <f t="shared" si="1"/>
        <v>4</v>
      </c>
      <c r="B27" s="2">
        <v>300</v>
      </c>
      <c r="C27" s="2">
        <v>867.59001575243099</v>
      </c>
      <c r="D27" s="2">
        <v>92.55</v>
      </c>
      <c r="E27" s="1">
        <v>3.4768721656824892</v>
      </c>
      <c r="F27" s="1">
        <v>0.51312447800042804</v>
      </c>
      <c r="G27" s="1">
        <v>4.6698847511192678</v>
      </c>
      <c r="H27" s="1">
        <v>6.4762317303954893</v>
      </c>
      <c r="I27" s="1" cm="1">
        <f t="array" ref="I27">_xll.Turner.GasVelocityWater($B$5,C27,D27+459.67)</f>
        <v>8.3960881838833643</v>
      </c>
      <c r="J27" s="1" cm="1">
        <f t="array" ref="J27">_xll.Turner.GasRateStd(I27, $D$3, C27, D27+459.67, $B$5)</f>
        <v>1.3364330831384417</v>
      </c>
      <c r="K27" s="1">
        <f t="shared" si="0"/>
        <v>0.7713391746917192</v>
      </c>
      <c r="O27" t="s">
        <v>12</v>
      </c>
    </row>
    <row r="28" spans="1:15" x14ac:dyDescent="0.45">
      <c r="A28">
        <f t="shared" si="1"/>
        <v>5</v>
      </c>
      <c r="B28" s="2">
        <v>400</v>
      </c>
      <c r="C28" s="2">
        <v>890.3404085736629</v>
      </c>
      <c r="D28" s="2">
        <v>93.4</v>
      </c>
      <c r="E28" s="1">
        <v>3.5775355454117195</v>
      </c>
      <c r="F28" s="1">
        <v>0.51596663243495666</v>
      </c>
      <c r="G28" s="1">
        <v>4.6698847511192678</v>
      </c>
      <c r="H28" s="1">
        <v>6.2940059032538445</v>
      </c>
      <c r="I28" s="1" cm="1">
        <f t="array" ref="I28">_xll.Turner.GasVelocityWater($B$5,C28,D28+459.67)</f>
        <v>8.27633661973044</v>
      </c>
      <c r="J28" s="1" cm="1">
        <f t="array" ref="J28">_xll.Turner.GasRateStd(I28, $D$3, C28, D28+459.67, $B$5)</f>
        <v>1.3546894468625597</v>
      </c>
      <c r="K28" s="1">
        <f t="shared" si="0"/>
        <v>0.7604821060865502</v>
      </c>
      <c r="O28" s="5" t="s">
        <v>25</v>
      </c>
    </row>
    <row r="29" spans="1:15" x14ac:dyDescent="0.45">
      <c r="A29">
        <f t="shared" si="1"/>
        <v>6</v>
      </c>
      <c r="B29" s="2">
        <v>500</v>
      </c>
      <c r="C29" s="2">
        <v>913.19814762750946</v>
      </c>
      <c r="D29" s="2">
        <v>94.25</v>
      </c>
      <c r="E29" s="1">
        <v>3.6788775456780138</v>
      </c>
      <c r="F29" s="1">
        <v>0.51875212566193263</v>
      </c>
      <c r="G29" s="1">
        <v>4.6698847511192678</v>
      </c>
      <c r="H29" s="1">
        <v>6.1206249901889462</v>
      </c>
      <c r="I29" s="1" cm="1">
        <f t="array" ref="I29">_xll.Turner.GasVelocityWater($B$5,C29,D29+459.67)</f>
        <v>8.1606633241715905</v>
      </c>
      <c r="J29" s="1" cm="1">
        <f t="array" ref="J29">_xll.Turner.GasRateStd(I29, $D$3, C29, D29+459.67, $B$5)</f>
        <v>1.3727875760858086</v>
      </c>
      <c r="K29" s="1">
        <f t="shared" si="0"/>
        <v>0.7500156233697175</v>
      </c>
    </row>
    <row r="30" spans="1:15" x14ac:dyDescent="0.45">
      <c r="A30">
        <f t="shared" si="1"/>
        <v>7</v>
      </c>
      <c r="B30" s="2">
        <v>600</v>
      </c>
      <c r="C30" s="2">
        <v>936.16159633490679</v>
      </c>
      <c r="D30" s="2">
        <v>95.1</v>
      </c>
      <c r="E30" s="1">
        <v>3.7808688240641004</v>
      </c>
      <c r="F30" s="1">
        <v>0.52148297051844772</v>
      </c>
      <c r="G30" s="1">
        <v>4.6698847511192678</v>
      </c>
      <c r="H30" s="1">
        <v>5.9555173399848345</v>
      </c>
      <c r="I30" s="1" cm="1">
        <f t="array" ref="I30">_xll.Turner.GasVelocityWater($B$5,C30,D30+459.67)</f>
        <v>8.0488700044387489</v>
      </c>
      <c r="J30" s="1" cm="1">
        <f t="array" ref="J30">_xll.Turner.GasRateStd(I30, $D$3, C30, D30+459.67, $B$5)</f>
        <v>1.390727718120262</v>
      </c>
      <c r="K30" s="1">
        <f t="shared" si="0"/>
        <v>0.73991968272571385</v>
      </c>
    </row>
    <row r="31" spans="1:15" x14ac:dyDescent="0.45">
      <c r="A31">
        <f t="shared" si="1"/>
        <v>8</v>
      </c>
      <c r="B31" s="2">
        <v>700</v>
      </c>
      <c r="C31" s="2">
        <v>959.22916087680119</v>
      </c>
      <c r="D31" s="2">
        <v>95.95</v>
      </c>
      <c r="E31" s="1">
        <v>3.8834787053671858</v>
      </c>
      <c r="F31" s="1">
        <v>0.52416104169768307</v>
      </c>
      <c r="G31" s="1">
        <v>4.6698847511192678</v>
      </c>
      <c r="H31" s="1">
        <v>5.7981597300384387</v>
      </c>
      <c r="I31" s="1" cm="1">
        <f t="array" ref="I31">_xll.Turner.GasVelocityWater($B$5,C31,D31+459.67)</f>
        <v>7.9407727727960609</v>
      </c>
      <c r="J31" s="1" cm="1">
        <f t="array" ref="J31">_xll.Turner.GasRateStd(I31, $D$3, C31, D31+459.67, $B$5)</f>
        <v>1.4085098580807269</v>
      </c>
      <c r="K31" s="1">
        <f t="shared" si="0"/>
        <v>0.73017575189937378</v>
      </c>
    </row>
    <row r="32" spans="1:15" x14ac:dyDescent="0.45">
      <c r="A32">
        <f t="shared" si="1"/>
        <v>9</v>
      </c>
      <c r="B32" s="2">
        <v>800</v>
      </c>
      <c r="C32" s="2">
        <v>982.39928681876233</v>
      </c>
      <c r="D32" s="2">
        <v>96.8</v>
      </c>
      <c r="E32" s="1">
        <v>3.9866751860833238</v>
      </c>
      <c r="F32" s="1">
        <v>0.5267880866402469</v>
      </c>
      <c r="G32" s="1">
        <v>4.6698847511192678</v>
      </c>
      <c r="H32" s="1">
        <v>5.6480723387057523</v>
      </c>
      <c r="I32" s="1" cm="1">
        <f t="array" ref="I32">_xll.Turner.GasVelocityWater($B$5,C32,D32+459.67)</f>
        <v>7.8362008218006336</v>
      </c>
      <c r="J32" s="1" cm="1">
        <f t="array" ref="J32">_xll.Turner.GasRateStd(I32, $D$3, C32, D32+459.67, $B$5)</f>
        <v>1.4261337393335667</v>
      </c>
      <c r="K32" s="1">
        <f t="shared" si="0"/>
        <v>0.72076666577923609</v>
      </c>
    </row>
    <row r="33" spans="1:11" x14ac:dyDescent="0.45">
      <c r="A33">
        <f t="shared" si="1"/>
        <v>10</v>
      </c>
      <c r="B33" s="2">
        <v>900</v>
      </c>
      <c r="C33" s="2">
        <v>1005.6704559718401</v>
      </c>
      <c r="D33" s="2">
        <v>97.65</v>
      </c>
      <c r="E33" s="1">
        <v>4.0904249429416328</v>
      </c>
      <c r="F33" s="1">
        <v>0.52936573544054066</v>
      </c>
      <c r="G33" s="1">
        <v>4.6698847511192678</v>
      </c>
      <c r="H33" s="1">
        <v>5.5048143300555674</v>
      </c>
      <c r="I33" s="1" cm="1">
        <f t="array" ref="I33">_xll.Turner.GasVelocityWater($B$5,C33,D33+459.67)</f>
        <v>7.7349952328767859</v>
      </c>
      <c r="J33" s="1" cm="1">
        <f t="array" ref="J33">_xll.Turner.GasRateStd(I33, $D$3, C33, D33+459.67, $B$5)</f>
        <v>1.4435988846694121</v>
      </c>
      <c r="K33" s="1">
        <f t="shared" si="0"/>
        <v>0.71167649938010713</v>
      </c>
    </row>
    <row r="34" spans="1:11" x14ac:dyDescent="0.45">
      <c r="A34">
        <f t="shared" si="1"/>
        <v>11</v>
      </c>
      <c r="B34" s="2">
        <v>1000</v>
      </c>
      <c r="C34" s="2">
        <v>1029.0411834858746</v>
      </c>
      <c r="D34" s="2">
        <v>98.5</v>
      </c>
      <c r="E34" s="1">
        <v>4.1946933573086342</v>
      </c>
      <c r="F34" s="1">
        <v>0.53189551022166903</v>
      </c>
      <c r="G34" s="1">
        <v>4.6698847511192678</v>
      </c>
      <c r="H34" s="1">
        <v>5.3679799508322157</v>
      </c>
      <c r="I34" s="1" cm="1">
        <f t="array" ref="I34">_xll.Turner.GasVelocityWater($B$5,C34,D34+459.67)</f>
        <v>7.6370079108616293</v>
      </c>
      <c r="J34" s="1" cm="1">
        <f t="array" ref="J34">_xll.Turner.GasRateStd(I34, $D$3, C34, D34+459.67, $B$5)</f>
        <v>1.4609046167076791</v>
      </c>
      <c r="K34" s="1">
        <f t="shared" si="0"/>
        <v>0.70289045310502818</v>
      </c>
    </row>
    <row r="35" spans="1:11" x14ac:dyDescent="0.45">
      <c r="A35">
        <f t="shared" si="1"/>
        <v>12</v>
      </c>
      <c r="B35" s="2">
        <v>1100</v>
      </c>
      <c r="C35" s="2">
        <v>1052.5100151615979</v>
      </c>
      <c r="D35" s="2">
        <v>99.35</v>
      </c>
      <c r="E35" s="1">
        <v>4.2994445466817206</v>
      </c>
      <c r="F35" s="1">
        <v>0.53437883376782569</v>
      </c>
      <c r="G35" s="1">
        <v>4.6698847511192678</v>
      </c>
      <c r="H35" s="1">
        <v>5.2371950835603416</v>
      </c>
      <c r="I35" s="1" cm="1">
        <f t="array" ref="I35">_xll.Turner.GasVelocityWater($B$5,C35,D35+459.67)</f>
        <v>7.5421006255216465</v>
      </c>
      <c r="J35" s="1" cm="1">
        <f t="array" ref="J35">_xll.Turner.GasRateStd(I35, $D$3, C35, D35+459.67, $B$5)</f>
        <v>1.4780500782753703</v>
      </c>
      <c r="K35" s="1">
        <f t="shared" si="0"/>
        <v>0.69439475069296264</v>
      </c>
    </row>
    <row r="36" spans="1:11" x14ac:dyDescent="0.45">
      <c r="A36">
        <f t="shared" si="1"/>
        <v>13</v>
      </c>
      <c r="B36" s="2">
        <v>1200</v>
      </c>
      <c r="C36" s="2">
        <v>1076.0755249735198</v>
      </c>
      <c r="D36" s="2">
        <v>100.2</v>
      </c>
      <c r="E36" s="1">
        <v>4.4046414073109528</v>
      </c>
      <c r="F36" s="1">
        <v>0.53681703760278876</v>
      </c>
      <c r="G36" s="1">
        <v>4.6698847511192678</v>
      </c>
      <c r="H36" s="1">
        <v>5.1121141903963849</v>
      </c>
      <c r="I36" s="1" cm="1">
        <f t="array" ref="I36">_xll.Turner.GasVelocityWater($B$5,C36,D36+459.67)</f>
        <v>7.4501441481138508</v>
      </c>
      <c r="J36" s="1" cm="1">
        <f t="array" ref="J36">_xll.Turner.GasRateStd(I36, $D$3, C36, D36+459.67, $B$5)</f>
        <v>1.4950342526822538</v>
      </c>
      <c r="K36" s="1">
        <f t="shared" si="0"/>
        <v>0.68617654756258861</v>
      </c>
    </row>
    <row r="37" spans="1:11" x14ac:dyDescent="0.45">
      <c r="A37">
        <f t="shared" si="1"/>
        <v>14</v>
      </c>
      <c r="B37" s="2">
        <v>1300</v>
      </c>
      <c r="C37" s="2">
        <v>1099.7363127955164</v>
      </c>
      <c r="D37" s="2">
        <v>101.05</v>
      </c>
      <c r="E37" s="1">
        <v>4.5102456673534137</v>
      </c>
      <c r="F37" s="1">
        <v>0.53921136954807058</v>
      </c>
      <c r="G37" s="1">
        <v>4.6698847511192678</v>
      </c>
      <c r="H37" s="1">
        <v>4.9924175982047307</v>
      </c>
      <c r="I37" s="1" cm="1">
        <f t="array" ref="I37">_xll.Turner.GasVelocityWater($B$5,C37,D37+459.67)</f>
        <v>7.36101747207322</v>
      </c>
      <c r="J37" s="1" cm="1">
        <f t="array" ref="J37">_xll.Turner.GasRateStd(I37, $D$3, C37, D37+459.67, $B$5)</f>
        <v>1.5118559839104633</v>
      </c>
      <c r="K37" s="1">
        <f t="shared" si="0"/>
        <v>0.67822384842113725</v>
      </c>
    </row>
    <row r="38" spans="1:11" x14ac:dyDescent="0.45">
      <c r="A38">
        <f t="shared" si="1"/>
        <v>15</v>
      </c>
      <c r="B38" s="2">
        <v>1400</v>
      </c>
      <c r="C38" s="2">
        <v>1123.4910023216175</v>
      </c>
      <c r="D38" s="2">
        <v>101.9</v>
      </c>
      <c r="E38" s="1">
        <v>4.6162179505245842</v>
      </c>
      <c r="F38" s="1">
        <v>0.54156300080722108</v>
      </c>
      <c r="G38" s="1">
        <v>4.6698847511192678</v>
      </c>
      <c r="H38" s="1">
        <v>4.877809081645073</v>
      </c>
      <c r="I38" s="1" cm="1">
        <f t="array" ref="I38">_xll.Turner.GasVelocityWater($B$5,C38,D38+459.67)</f>
        <v>7.274607108404747</v>
      </c>
      <c r="J38" s="1" cm="1">
        <f t="array" ref="J38">_xll.Turner.GasRateStd(I38, $D$3, C38, D38+459.67, $B$5)</f>
        <v>1.5285139967142334</v>
      </c>
      <c r="K38" s="1">
        <f t="shared" si="0"/>
        <v>0.67052543305183809</v>
      </c>
    </row>
    <row r="39" spans="1:11" x14ac:dyDescent="0.45">
      <c r="A39">
        <f t="shared" si="1"/>
        <v>16</v>
      </c>
      <c r="B39" s="2">
        <v>1500</v>
      </c>
      <c r="C39" s="2">
        <v>1147.3382391749094</v>
      </c>
      <c r="D39" s="2">
        <v>102.75</v>
      </c>
      <c r="E39" s="1">
        <v>4.7225178500807585</v>
      </c>
      <c r="F39" s="1">
        <v>0.54387303261497966</v>
      </c>
      <c r="G39" s="1">
        <v>4.6698847511192678</v>
      </c>
      <c r="H39" s="1">
        <v>4.7680137072508399</v>
      </c>
      <c r="I39" s="1" cm="1">
        <f t="array" ref="I39">_xll.Turner.GasVelocityWater($B$5,C39,D39+459.67)</f>
        <v>7.1908064476301305</v>
      </c>
      <c r="J39" s="1" cm="1">
        <f t="array" ref="J39">_xll.Turner.GasRateStd(I39, $D$3, C39, D39+459.67, $B$5)</f>
        <v>1.54500691660505</v>
      </c>
      <c r="K39" s="1">
        <f t="shared" si="0"/>
        <v>0.6630707893441119</v>
      </c>
    </row>
    <row r="40" spans="1:11" x14ac:dyDescent="0.45">
      <c r="A40">
        <f t="shared" si="1"/>
        <v>17</v>
      </c>
      <c r="B40" s="2">
        <v>1600</v>
      </c>
      <c r="C40" s="2">
        <v>1171.2766891977333</v>
      </c>
      <c r="D40" s="2">
        <v>103.6</v>
      </c>
      <c r="E40" s="1">
        <v>4.8291040128294282</v>
      </c>
      <c r="F40" s="1">
        <v>0.54614250248310359</v>
      </c>
      <c r="G40" s="1">
        <v>4.6698847511192678</v>
      </c>
      <c r="H40" s="1">
        <v>4.6627759066901602</v>
      </c>
      <c r="I40" s="1" cm="1">
        <f t="array" ref="I40">_xll.Turner.GasVelocityWater($B$5,C40,D40+459.67)</f>
        <v>7.109515181221604</v>
      </c>
      <c r="J40" s="1" cm="1">
        <f t="array" ref="J40">_xll.Turner.GasRateStd(I40, $D$3, C40, D40+459.67, $B$5)</f>
        <v>1.5613332896789045</v>
      </c>
      <c r="K40" s="1">
        <f t="shared" si="0"/>
        <v>0.6558500527583051</v>
      </c>
    </row>
    <row r="41" spans="1:11" x14ac:dyDescent="0.45">
      <c r="A41">
        <f t="shared" si="1"/>
        <v>18</v>
      </c>
      <c r="B41" s="2">
        <v>1700</v>
      </c>
      <c r="C41" s="2">
        <v>1195.3050369165062</v>
      </c>
      <c r="D41" s="2">
        <v>104.45</v>
      </c>
      <c r="E41" s="1">
        <v>4.935934232722925</v>
      </c>
      <c r="F41" s="1">
        <v>0.54837239006889682</v>
      </c>
      <c r="G41" s="1">
        <v>4.6698847511192678</v>
      </c>
      <c r="H41" s="1">
        <v>4.5618577517999528</v>
      </c>
      <c r="I41" s="1" cm="1">
        <f t="array" ref="I41">_xll.Turner.GasVelocityWater($B$5,C41,D41+459.67)</f>
        <v>7.0306387763778382</v>
      </c>
      <c r="J41" s="1" cm="1">
        <f t="array" ref="J41">_xll.Turner.GasRateStd(I41, $D$3, C41, D41+459.67, $B$5)</f>
        <v>1.5774916022259875</v>
      </c>
      <c r="K41" s="1">
        <f t="shared" si="0"/>
        <v>0.64885395152532732</v>
      </c>
    </row>
    <row r="42" spans="1:11" x14ac:dyDescent="0.45">
      <c r="A42">
        <f t="shared" si="1"/>
        <v>19</v>
      </c>
      <c r="B42" s="2">
        <v>1800</v>
      </c>
      <c r="C42" s="2">
        <v>1219.4219841745082</v>
      </c>
      <c r="D42" s="2">
        <v>105.3</v>
      </c>
      <c r="E42" s="1">
        <v>5.0429655534484903</v>
      </c>
      <c r="F42" s="1">
        <v>0.55056362268738912</v>
      </c>
      <c r="G42" s="1">
        <v>4.6698847511192678</v>
      </c>
      <c r="H42" s="1">
        <v>4.4650374077063022</v>
      </c>
      <c r="I42" s="1" cm="1">
        <f t="array" ref="I42">_xll.Turner.GasVelocityWater($B$5,C42,D42+459.67)</f>
        <v>6.9540879987836881</v>
      </c>
      <c r="J42" s="1" cm="1">
        <f t="array" ref="J42">_xll.Turner.GasRateStd(I42, $D$3, C42, D42+459.67, $B$5)</f>
        <v>1.5934803000490354</v>
      </c>
      <c r="K42" s="1">
        <f t="shared" si="0"/>
        <v>0.64207375697392155</v>
      </c>
    </row>
    <row r="43" spans="1:11" x14ac:dyDescent="0.45">
      <c r="A43">
        <f t="shared" si="1"/>
        <v>20</v>
      </c>
      <c r="B43" s="2">
        <v>1900</v>
      </c>
      <c r="C43" s="2">
        <v>1243.6262489259134</v>
      </c>
      <c r="D43" s="2">
        <v>106.15</v>
      </c>
      <c r="E43" s="1">
        <v>5.150154379288197</v>
      </c>
      <c r="F43" s="1">
        <v>0.5527170804838889</v>
      </c>
      <c r="G43" s="1">
        <v>4.6698847511192678</v>
      </c>
      <c r="H43" s="1">
        <v>4.3721077435030029</v>
      </c>
      <c r="I43" s="1" cm="1">
        <f t="array" ref="I43">_xll.Turner.GasVelocityWater($B$5,C43,D43+459.67)</f>
        <v>6.8797784786667364</v>
      </c>
      <c r="J43" s="1" cm="1">
        <f t="array" ref="J43">_xll.Turner.GasRateStd(I43, $D$3, C43, D43+459.67, $B$5)</f>
        <v>1.6092978074049682</v>
      </c>
      <c r="K43" s="1">
        <f t="shared" si="0"/>
        <v>0.6355012384570693</v>
      </c>
    </row>
    <row r="44" spans="1:11" x14ac:dyDescent="0.45">
      <c r="A44">
        <f t="shared" si="1"/>
        <v>21</v>
      </c>
      <c r="B44" s="2">
        <v>2000</v>
      </c>
      <c r="C44" s="2">
        <v>1267.9165641841867</v>
      </c>
      <c r="D44" s="2">
        <v>107</v>
      </c>
      <c r="E44" s="1">
        <v>5.2574565933888389</v>
      </c>
      <c r="F44" s="1">
        <v>0.55483360128013814</v>
      </c>
      <c r="G44" s="1">
        <v>4.6698847511192678</v>
      </c>
      <c r="H44" s="1">
        <v>4.2828750826467319</v>
      </c>
      <c r="I44" s="1" cm="1">
        <f t="array" ref="I44">_xll.Turner.GasVelocityWater($B$5,C44,D44+459.67)</f>
        <v>6.8076303160364198</v>
      </c>
      <c r="J44" s="1" cm="1">
        <f t="array" ref="J44">_xll.Turner.GasRateStd(I44, $D$3, C44, D44+459.67, $B$5)</f>
        <v>1.624942545475542</v>
      </c>
      <c r="K44" s="1">
        <f t="shared" si="0"/>
        <v>0.62912862241619694</v>
      </c>
    </row>
    <row r="45" spans="1:11" x14ac:dyDescent="0.45">
      <c r="A45">
        <f t="shared" si="1"/>
        <v>22</v>
      </c>
      <c r="B45" s="2">
        <v>2100</v>
      </c>
      <c r="C45" s="2">
        <v>1292.2916771177604</v>
      </c>
      <c r="D45" s="2">
        <v>107.85</v>
      </c>
      <c r="E45" s="1">
        <v>5.3648276824584507</v>
      </c>
      <c r="F45" s="1">
        <v>0.55691398510444468</v>
      </c>
      <c r="G45" s="1">
        <v>4.6698847511192678</v>
      </c>
      <c r="H45" s="1">
        <v>4.1971580775178445</v>
      </c>
      <c r="I45" s="1" cm="1">
        <f t="array" ref="I45">_xll.Turner.GasVelocityWater($B$5,C45,D45+459.67)</f>
        <v>6.737567721479965</v>
      </c>
      <c r="J45" s="1" cm="1">
        <f t="array" ref="J45">_xll.Turner.GasRateStd(I45, $D$3, C45, D45+459.67, $B$5)</f>
        <v>1.6404129502665774</v>
      </c>
      <c r="K45" s="1">
        <f t="shared" si="0"/>
        <v>0.62294855517918302</v>
      </c>
    </row>
    <row r="46" spans="1:11" x14ac:dyDescent="0.45">
      <c r="A46">
        <f t="shared" si="1"/>
        <v>23</v>
      </c>
      <c r="B46" s="2">
        <v>2200</v>
      </c>
      <c r="C46" s="2">
        <v>1316.7503482856459</v>
      </c>
      <c r="D46" s="2">
        <v>108.7</v>
      </c>
      <c r="E46" s="1">
        <v>5.4722228667961046</v>
      </c>
      <c r="F46" s="1">
        <v>0.55895899841402052</v>
      </c>
      <c r="G46" s="1">
        <v>4.6698847511192678</v>
      </c>
      <c r="H46" s="1">
        <v>4.1147866945531</v>
      </c>
      <c r="I46" s="1" cm="1">
        <f t="array" ref="I46">_xll.Turner.GasVelocityWater($B$5,C46,D46+459.67)</f>
        <v>6.6695186893058453</v>
      </c>
      <c r="J46" s="1" cm="1">
        <f t="array" ref="J46">_xll.Turner.GasRateStd(I46, $D$3, C46, D46+459.67, $B$5)</f>
        <v>1.6557074898320938</v>
      </c>
      <c r="K46" s="1">
        <f t="shared" si="0"/>
        <v>0.61695406913708817</v>
      </c>
    </row>
    <row r="47" spans="1:11" x14ac:dyDescent="0.45">
      <c r="A47">
        <f t="shared" si="1"/>
        <v>24</v>
      </c>
      <c r="B47" s="2">
        <v>2300</v>
      </c>
      <c r="C47" s="2">
        <v>1341.2913510053584</v>
      </c>
      <c r="D47" s="2">
        <v>109.55</v>
      </c>
      <c r="E47" s="1">
        <v>5.5795972344683848</v>
      </c>
      <c r="F47" s="1">
        <v>0.560969378016139</v>
      </c>
      <c r="G47" s="1">
        <v>4.6698847511192678</v>
      </c>
      <c r="H47" s="1">
        <v>4.0356012980329776</v>
      </c>
      <c r="I47" s="1" cm="1">
        <f t="array" ref="I47">_xll.Turner.GasVelocityWater($B$5,C47,D47+459.67)</f>
        <v>6.6034147001803465</v>
      </c>
      <c r="J47" s="1" cm="1">
        <f t="array" ref="J47">_xll.Turner.GasRateStd(I47, $D$3, C47, D47+459.67, $B$5)</f>
        <v>1.6708246807192686</v>
      </c>
      <c r="K47" s="1">
        <f t="shared" si="0"/>
        <v>0.61113855198625655</v>
      </c>
    </row>
    <row r="48" spans="1:11" x14ac:dyDescent="0.45">
      <c r="A48">
        <f t="shared" si="1"/>
        <v>25</v>
      </c>
      <c r="B48" s="2">
        <v>2400</v>
      </c>
      <c r="C48" s="2">
        <v>1365.913470845243</v>
      </c>
      <c r="D48" s="2">
        <v>110.4</v>
      </c>
      <c r="E48" s="1">
        <v>5.6869058783721336</v>
      </c>
      <c r="F48" s="1">
        <v>0.56294583469367521</v>
      </c>
      <c r="G48" s="1">
        <v>4.6698847511192678</v>
      </c>
      <c r="H48" s="1">
        <v>3.9594518220455024</v>
      </c>
      <c r="I48" s="1" cm="1">
        <f t="array" ref="I48">_xll.Turner.GasVelocityWater($B$5,C48,D48+459.67)</f>
        <v>6.5391904507050107</v>
      </c>
      <c r="J48" s="1" cm="1">
        <f t="array" ref="J48">_xll.Turner.GasRateStd(I48, $D$3, C48, D48+459.67, $B$5)</f>
        <v>1.6857631035325713</v>
      </c>
      <c r="K48" s="1">
        <f t="shared" si="0"/>
        <v>0.60549571875806452</v>
      </c>
    </row>
    <row r="49" spans="1:11" x14ac:dyDescent="0.45">
      <c r="A49">
        <f t="shared" si="1"/>
        <v>26</v>
      </c>
      <c r="B49" s="2">
        <v>2500</v>
      </c>
      <c r="C49" s="2">
        <v>1390.6155052330146</v>
      </c>
      <c r="D49" s="2">
        <v>111.25</v>
      </c>
      <c r="E49" s="1">
        <v>5.7941040348710686</v>
      </c>
      <c r="F49" s="1">
        <v>0.56488905654003096</v>
      </c>
      <c r="G49" s="1">
        <v>4.6698847511192678</v>
      </c>
      <c r="H49" s="1">
        <v>3.8861970213869101</v>
      </c>
      <c r="I49" s="1" cm="1">
        <f t="array" ref="I49">_xll.Turner.GasVelocityWater($B$5,C49,D49+459.67)</f>
        <v>6.4767836076402849</v>
      </c>
      <c r="J49" s="1" cm="1">
        <f t="array" ref="J49">_xll.Turner.GasRateStd(I49, $D$3, C49, D49+459.67, $B$5)</f>
        <v>1.7005214175206114</v>
      </c>
      <c r="K49" s="1">
        <f t="shared" si="0"/>
        <v>0.60001958638892761</v>
      </c>
    </row>
    <row r="50" spans="1:11" x14ac:dyDescent="0.45">
      <c r="A50">
        <f t="shared" si="1"/>
        <v>27</v>
      </c>
      <c r="B50" s="2">
        <v>2600</v>
      </c>
      <c r="C50" s="2">
        <v>1415.396263172064</v>
      </c>
      <c r="D50" s="2">
        <v>112.1</v>
      </c>
      <c r="E50" s="1">
        <v>5.9011472226655393</v>
      </c>
      <c r="F50" s="1">
        <v>0.56679971200833568</v>
      </c>
      <c r="G50" s="1">
        <v>4.6698847511192678</v>
      </c>
      <c r="H50" s="1">
        <v>3.8157037932280096</v>
      </c>
      <c r="I50" s="1" cm="1">
        <f t="array" ref="I50">_xll.Turner.GasVelocityWater($B$5,C50,D50+459.67)</f>
        <v>6.4161345847000941</v>
      </c>
      <c r="J50" s="1" cm="1">
        <f t="array" ref="J50">_xll.Turner.GasRateStd(I50, $D$3, C50, D50+459.67, $B$5)</f>
        <v>1.7150983740968402</v>
      </c>
      <c r="K50" s="1">
        <f t="shared" si="0"/>
        <v>0.5947044506090835</v>
      </c>
    </row>
    <row r="51" spans="1:11" x14ac:dyDescent="0.45">
      <c r="A51">
        <f t="shared" si="1"/>
        <v>28</v>
      </c>
      <c r="B51" s="2">
        <v>2700</v>
      </c>
      <c r="C51" s="2">
        <v>1440.2545650568698</v>
      </c>
      <c r="D51" s="2">
        <v>112.95</v>
      </c>
      <c r="E51" s="1">
        <v>6.007991380550628</v>
      </c>
      <c r="F51" s="1">
        <v>0.5686784526800267</v>
      </c>
      <c r="G51" s="1">
        <v>4.6698847511192678</v>
      </c>
      <c r="H51" s="1">
        <v>3.7478465622995207</v>
      </c>
      <c r="I51" s="1" cm="1">
        <f t="array" ref="I51">_xll.Turner.GasVelocityWater($B$5,C51,D51+459.67)</f>
        <v>6.3571863400297008</v>
      </c>
      <c r="J51" s="1" cm="1">
        <f t="array" ref="J51">_xll.Turner.GasRateStd(I51, $D$3, C51, D51+459.67, $B$5)</f>
        <v>1.7294928292152132</v>
      </c>
      <c r="K51" s="1">
        <f t="shared" si="0"/>
        <v>0.58954486495074343</v>
      </c>
    </row>
    <row r="52" spans="1:11" x14ac:dyDescent="0.45">
      <c r="A52">
        <f t="shared" si="1"/>
        <v>29</v>
      </c>
      <c r="B52" s="2">
        <v>2800</v>
      </c>
      <c r="C52" s="2">
        <v>1465.1892425786868</v>
      </c>
      <c r="D52" s="2">
        <v>113.8</v>
      </c>
      <c r="E52" s="1">
        <v>6.1145930027386211</v>
      </c>
      <c r="F52" s="1">
        <v>0.57052591575852285</v>
      </c>
      <c r="G52" s="1">
        <v>4.6698847511192678</v>
      </c>
      <c r="H52" s="1">
        <v>3.6825067231517838</v>
      </c>
      <c r="I52" s="1" cm="1">
        <f t="array" ref="I52">_xll.Turner.GasVelocityWater($B$5,C52,D52+459.67)</f>
        <v>6.2998841926399054</v>
      </c>
      <c r="J52" s="1" cm="1">
        <f t="array" ref="J52">_xll.Turner.GasRateStd(I52, $D$3, C52, D52+459.67, $B$5)</f>
        <v>1.7437037545337382</v>
      </c>
      <c r="K52" s="1">
        <f t="shared" si="0"/>
        <v>0.58453562169508155</v>
      </c>
    </row>
    <row r="53" spans="1:11" x14ac:dyDescent="0.45">
      <c r="A53">
        <f t="shared" si="1"/>
        <v>30</v>
      </c>
      <c r="B53" s="2">
        <v>2900</v>
      </c>
      <c r="C53" s="2">
        <v>1490.1991387125734</v>
      </c>
      <c r="D53" s="2">
        <v>114.65</v>
      </c>
      <c r="E53" s="1">
        <v>6.2209092704666311</v>
      </c>
      <c r="F53" s="1">
        <v>0.57234272629446847</v>
      </c>
      <c r="G53" s="1">
        <v>4.6698847511192678</v>
      </c>
      <c r="H53" s="1">
        <v>3.6195721337425684</v>
      </c>
      <c r="I53" s="1" cm="1">
        <f t="array" ref="I53">_xll.Turner.GasVelocityWater($B$5,C53,D53+459.67)</f>
        <v>6.2441756562093369</v>
      </c>
      <c r="J53" s="1" cm="1">
        <f t="array" ref="J53">_xll.Turner.GasRateStd(I53, $D$3, C53, D53+459.67, $B$5)</f>
        <v>1.7577302473122454</v>
      </c>
      <c r="K53" s="1">
        <f t="shared" si="0"/>
        <v>0.57967173459369148</v>
      </c>
    </row>
    <row r="54" spans="1:11" x14ac:dyDescent="0.45">
      <c r="A54">
        <f t="shared" si="1"/>
        <v>31</v>
      </c>
      <c r="B54" s="2">
        <v>3000</v>
      </c>
      <c r="C54" s="2">
        <v>1515.283107776776</v>
      </c>
      <c r="D54" s="2">
        <v>115.5</v>
      </c>
      <c r="E54" s="1">
        <v>6.3268981786779523</v>
      </c>
      <c r="F54" s="1">
        <v>0.57412949915004485</v>
      </c>
      <c r="G54" s="1">
        <v>4.6698847511192678</v>
      </c>
      <c r="H54" s="1">
        <v>3.5589366552168711</v>
      </c>
      <c r="I54" s="1" cm="1">
        <f t="array" ref="I54">_xll.Turner.GasVelocityWater($B$5,C54,D54+459.67)</f>
        <v>6.1900102887870014</v>
      </c>
      <c r="J54" s="1" cm="1">
        <f t="array" ref="J54">_xll.Turner.GasRateStd(I54, $D$3, C54, D54+459.67, $B$5)</f>
        <v>1.7715715390053317</v>
      </c>
      <c r="K54" s="1">
        <f t="shared" si="0"/>
        <v>0.57494842321405615</v>
      </c>
    </row>
    <row r="55" spans="1:11" x14ac:dyDescent="0.45">
      <c r="A55">
        <f t="shared" si="1"/>
        <v>32</v>
      </c>
      <c r="B55" s="2">
        <v>3100</v>
      </c>
      <c r="C55" s="2">
        <v>1540.4400155555254</v>
      </c>
      <c r="D55" s="2">
        <v>116.35</v>
      </c>
      <c r="E55" s="1">
        <v>6.4325186566542278</v>
      </c>
      <c r="F55" s="1">
        <v>0.57588684071096596</v>
      </c>
      <c r="G55" s="1">
        <v>4.6698847511192678</v>
      </c>
      <c r="H55" s="1">
        <v>3.5004997332776804</v>
      </c>
      <c r="I55" s="1" cm="1">
        <f t="array" ref="I55">_xll.Turner.GasVelocityWater($B$5,C55,D55+459.67)</f>
        <v>6.1373395570330151</v>
      </c>
      <c r="J55" s="1" cm="1">
        <f t="array" ref="J55">_xll.Turner.GasRateStd(I55, $D$3, C55, D55+459.67, $B$5)</f>
        <v>1.7852270025267176</v>
      </c>
      <c r="K55" s="1">
        <f t="shared" si="0"/>
        <v>0.57036109877061014</v>
      </c>
    </row>
    <row r="56" spans="1:11" x14ac:dyDescent="0.45">
      <c r="A56">
        <f t="shared" si="1"/>
        <v>33</v>
      </c>
      <c r="B56" s="2">
        <v>3200</v>
      </c>
      <c r="C56" s="2">
        <v>1565.6687394763978</v>
      </c>
      <c r="D56" s="2">
        <v>117.2</v>
      </c>
      <c r="E56" s="1">
        <v>6.5377306815824161</v>
      </c>
      <c r="F56" s="1">
        <v>0.57761535035590272</v>
      </c>
      <c r="G56" s="1">
        <v>4.6698847511192678</v>
      </c>
      <c r="H56" s="1">
        <v>3.4441660170179609</v>
      </c>
      <c r="I56" s="1" cm="1">
        <f t="array" ref="I56">_xll.Turner.GasVelocityWater($B$5,C56,D56+459.67)</f>
        <v>6.0861167137294316</v>
      </c>
      <c r="J56" s="1" cm="1">
        <f t="array" ref="J56">_xll.Turner.GasRateStd(I56, $D$3, C56, D56+459.67, $B$5)</f>
        <v>1.7986961581769418</v>
      </c>
      <c r="K56" s="1">
        <f t="shared" si="0"/>
        <v>0.56590535131349062</v>
      </c>
    </row>
    <row r="57" spans="1:11" x14ac:dyDescent="0.45">
      <c r="A57">
        <f t="shared" si="1"/>
        <v>34</v>
      </c>
      <c r="B57" s="2">
        <v>3300</v>
      </c>
      <c r="C57" s="2">
        <v>1590.9681688335772</v>
      </c>
      <c r="D57" s="2">
        <v>118.05</v>
      </c>
      <c r="E57" s="1">
        <v>6.6424953841626451</v>
      </c>
      <c r="F57" s="1">
        <v>0.57931562169432904</v>
      </c>
      <c r="G57" s="1">
        <v>4.6698847511192678</v>
      </c>
      <c r="H57" s="1">
        <v>3.3898450115009506</v>
      </c>
      <c r="I57" s="1" cm="1">
        <f t="array" ref="I57">_xll.Turner.GasVelocityWater($B$5,C57,D57+459.67)</f>
        <v>6.0362966873777886</v>
      </c>
      <c r="J57" s="1" cm="1">
        <f t="array" ref="J57">_xll.Turner.GasRateStd(I57, $D$3, C57, D57+459.67, $B$5)</f>
        <v>1.8119786782418392</v>
      </c>
      <c r="K57" s="1">
        <f t="shared" si="0"/>
        <v>0.56157693815635235</v>
      </c>
    </row>
    <row r="58" spans="1:11" x14ac:dyDescent="0.45">
      <c r="A58">
        <f t="shared" si="1"/>
        <v>35</v>
      </c>
      <c r="B58" s="2">
        <v>3400</v>
      </c>
      <c r="C58" s="2">
        <v>1616.3372050486059</v>
      </c>
      <c r="D58" s="2">
        <v>118.9</v>
      </c>
      <c r="E58" s="1">
        <v>6.7467751454969882</v>
      </c>
      <c r="F58" s="1">
        <v>0.58098824358482404</v>
      </c>
      <c r="G58" s="1">
        <v>4.6698847511192678</v>
      </c>
      <c r="H58" s="1">
        <v>3.337450760746103</v>
      </c>
      <c r="I58" s="1" cm="1">
        <f t="array" ref="I58">_xll.Turner.GasVelocityWater($B$5,C58,D58+459.67)</f>
        <v>5.987835982777499</v>
      </c>
      <c r="J58" s="1" cm="1">
        <f t="array" ref="J58">_xll.Turner.GasRateStd(I58, $D$3, C58, D58+459.67, $B$5)</f>
        <v>1.8250743902843276</v>
      </c>
      <c r="K58" s="1">
        <f t="shared" si="0"/>
        <v>0.55737177343291278</v>
      </c>
    </row>
    <row r="59" spans="1:11" x14ac:dyDescent="0.45">
      <c r="A59">
        <f t="shared" si="1"/>
        <v>36</v>
      </c>
      <c r="B59" s="2">
        <v>3500</v>
      </c>
      <c r="C59" s="2">
        <v>1641.7747619605336</v>
      </c>
      <c r="D59" s="2">
        <v>119.75</v>
      </c>
      <c r="E59" s="1">
        <v>6.8505336846415066</v>
      </c>
      <c r="F59" s="1">
        <v>0.58263380094694539</v>
      </c>
      <c r="G59" s="1">
        <v>4.6698847511192678</v>
      </c>
      <c r="H59" s="1">
        <v>3.2869015581083381</v>
      </c>
      <c r="I59" s="1" cm="1">
        <f t="array" ref="I59">_xll.Turner.GasVelocityWater($B$5,C59,D59+459.67)</f>
        <v>5.9406925915512625</v>
      </c>
      <c r="J59" s="1" cm="1">
        <f t="array" ref="J59">_xll.Turner.GasRateStd(I59, $D$3, C59, D59+459.67, $B$5)</f>
        <v>1.8379832791662272</v>
      </c>
      <c r="K59" s="1">
        <f t="shared" si="0"/>
        <v>0.55328591867939869</v>
      </c>
    </row>
    <row r="60" spans="1:11" x14ac:dyDescent="0.45">
      <c r="A60">
        <f t="shared" si="1"/>
        <v>37</v>
      </c>
      <c r="B60" s="2">
        <v>3600</v>
      </c>
      <c r="C60" s="2">
        <v>1667.2797661377565</v>
      </c>
      <c r="D60" s="2">
        <v>120.6</v>
      </c>
      <c r="E60" s="1">
        <v>6.9537361363505017</v>
      </c>
      <c r="F60" s="1">
        <v>0.58425287538065396</v>
      </c>
      <c r="G60" s="1">
        <v>4.6698847511192678</v>
      </c>
      <c r="H60" s="1">
        <v>3.2381196813342616</v>
      </c>
      <c r="I60" s="1" cm="1">
        <f t="array" ref="I60">_xll.Turner.GasVelocityWater($B$5,C60,D60+459.67)</f>
        <v>5.8948259116514246</v>
      </c>
      <c r="J60" s="1" cm="1">
        <f t="array" ref="J60">_xll.Turner.GasRateStd(I60, $D$3, C60, D60+459.67, $B$5)</f>
        <v>1.8507054878499349</v>
      </c>
      <c r="K60" s="1">
        <f t="shared" si="0"/>
        <v>0.54931557434697986</v>
      </c>
    </row>
    <row r="61" spans="1:11" x14ac:dyDescent="0.45">
      <c r="A61">
        <f t="shared" si="1"/>
        <v>38</v>
      </c>
      <c r="B61" s="2">
        <v>3700</v>
      </c>
      <c r="C61" s="2">
        <v>1692.8511572042814</v>
      </c>
      <c r="D61" s="2">
        <v>121.45</v>
      </c>
      <c r="E61" s="1">
        <v>7.0563491186898935</v>
      </c>
      <c r="F61" s="1">
        <v>0.58584604560800613</v>
      </c>
      <c r="G61" s="1">
        <v>4.6698847511192678</v>
      </c>
      <c r="H61" s="1">
        <v>3.1910311498451511</v>
      </c>
      <c r="I61" s="1" cm="1">
        <f t="array" ref="I61">_xll.Turner.GasVelocityWater($B$5,C61,D61+459.67)</f>
        <v>5.8501966749458418</v>
      </c>
      <c r="J61" s="1" cm="1">
        <f t="array" ref="J61">_xll.Turner.GasRateStd(I61, $D$3, C61, D61+459.67, $B$5)</f>
        <v>1.8632413170413831</v>
      </c>
      <c r="K61" s="1">
        <f t="shared" si="0"/>
        <v>0.54545707215470529</v>
      </c>
    </row>
    <row r="62" spans="1:11" x14ac:dyDescent="0.45">
      <c r="A62">
        <f t="shared" si="1"/>
        <v>39</v>
      </c>
      <c r="B62" s="2">
        <v>3800</v>
      </c>
      <c r="C62" s="2">
        <v>1718.4878881736329</v>
      </c>
      <c r="D62" s="2">
        <v>122.30000000000001</v>
      </c>
      <c r="E62" s="1">
        <v>7.1583407903417262</v>
      </c>
      <c r="F62" s="1">
        <v>0.58741388775235392</v>
      </c>
      <c r="G62" s="1">
        <v>4.6698847511192678</v>
      </c>
      <c r="H62" s="1">
        <v>3.1455655020368072</v>
      </c>
      <c r="I62" s="1" cm="1">
        <f t="array" ref="I62">_xll.Turner.GasVelocityWater($B$5,C62,D62+459.67)</f>
        <v>5.8067668820439717</v>
      </c>
      <c r="J62" s="1" cm="1">
        <f t="array" ref="J62">_xll.Turner.GasRateStd(I62, $D$3, C62, D62+459.67, $B$5)</f>
        <v>1.8755912237458385</v>
      </c>
      <c r="K62" s="1">
        <f t="shared" si="0"/>
        <v>0.54170686819953306</v>
      </c>
    </row>
    <row r="63" spans="1:11" x14ac:dyDescent="0.45">
      <c r="A63">
        <f t="shared" si="1"/>
        <v>40</v>
      </c>
      <c r="B63" s="2">
        <v>3900</v>
      </c>
      <c r="C63" s="2">
        <v>1744.1889257841519</v>
      </c>
      <c r="D63" s="2">
        <v>123.15</v>
      </c>
      <c r="E63" s="1">
        <v>7.2596808975616733</v>
      </c>
      <c r="F63" s="1">
        <v>0.58895697547067749</v>
      </c>
      <c r="G63" s="1">
        <v>4.6698847511192678</v>
      </c>
      <c r="H63" s="1">
        <v>3.1016555906038059</v>
      </c>
      <c r="I63" s="1" cm="1">
        <f t="array" ref="I63">_xll.Turner.GasVelocityWater($B$5,C63,D63+459.67)</f>
        <v>5.7644997435840066</v>
      </c>
      <c r="J63" s="1" cm="1">
        <f t="array" ref="J63">_xll.Turner.GasRateStd(I63, $D$3, C63, D63+459.67, $B$5)</f>
        <v>1.8877558188163721</v>
      </c>
      <c r="K63" s="1">
        <f t="shared" si="0"/>
        <v>0.53806153674583912</v>
      </c>
    </row>
    <row r="64" spans="1:11" x14ac:dyDescent="0.45">
      <c r="A64">
        <f t="shared" si="1"/>
        <v>41</v>
      </c>
      <c r="B64" s="2">
        <v>4000</v>
      </c>
      <c r="C64" s="2">
        <v>1769.9532508299867</v>
      </c>
      <c r="D64" s="2">
        <v>124</v>
      </c>
      <c r="E64" s="1">
        <v>7.3603408108827022</v>
      </c>
      <c r="F64" s="1">
        <v>0.59047587995474371</v>
      </c>
      <c r="G64" s="1">
        <v>4.6698847511192678</v>
      </c>
      <c r="H64" s="1">
        <v>3.0592373940930906</v>
      </c>
      <c r="I64" s="1" cm="1">
        <f t="array" ref="I64">_xll.Turner.GasVelocityWater($B$5,C64,D64+459.67)</f>
        <v>5.723359627260356</v>
      </c>
      <c r="J64" s="1" cm="1">
        <f t="array" ref="J64">_xll.Turner.GasRateStd(I64, $D$3, C64, D64+459.67, $B$5)</f>
        <v>1.8997358635814285</v>
      </c>
      <c r="K64" s="1">
        <f t="shared" si="0"/>
        <v>0.53451776462236378</v>
      </c>
    </row>
    <row r="65" spans="1:11" x14ac:dyDescent="0.45">
      <c r="A65">
        <f t="shared" si="1"/>
        <v>42</v>
      </c>
      <c r="B65" s="2">
        <v>4100</v>
      </c>
      <c r="C65" s="2">
        <v>1795.7798584826487</v>
      </c>
      <c r="D65" s="2">
        <v>124.85</v>
      </c>
      <c r="E65" s="1">
        <v>7.4602935517791504</v>
      </c>
      <c r="F65" s="1">
        <v>0.5919711698168062</v>
      </c>
      <c r="G65" s="1">
        <v>4.6698847511192678</v>
      </c>
      <c r="H65" s="1">
        <v>3.0182498430711089</v>
      </c>
      <c r="I65" s="1" cm="1">
        <f t="array" ref="I65">_xll.Turner.GasVelocityWater($B$5,C65,D65+459.67)</f>
        <v>5.6833120099275769</v>
      </c>
      <c r="J65" s="1" cm="1">
        <f t="array" ref="J65">_xll.Turner.GasRateStd(I65, $D$3, C65, D65+459.67, $B$5)</f>
        <v>1.9115322656425942</v>
      </c>
      <c r="K65" s="1">
        <f t="shared" si="0"/>
        <v>0.53107234615992349</v>
      </c>
    </row>
    <row r="66" spans="1:11" x14ac:dyDescent="0.45">
      <c r="A66">
        <f t="shared" si="1"/>
        <v>43</v>
      </c>
      <c r="B66" s="2">
        <v>4200</v>
      </c>
      <c r="C66" s="2">
        <v>1821.6677585985922</v>
      </c>
      <c r="D66" s="2">
        <v>125.7</v>
      </c>
      <c r="E66" s="1">
        <v>7.5595138096137111</v>
      </c>
      <c r="F66" s="1">
        <v>0.59344341087524666</v>
      </c>
      <c r="G66" s="1">
        <v>4.6698847511192678</v>
      </c>
      <c r="H66" s="1">
        <v>2.9786346594520521</v>
      </c>
      <c r="I66" s="1" cm="1">
        <f t="array" ref="I66">_xll.Turner.GasVelocityWater($B$5,C66,D66+459.67)</f>
        <v>5.6443234341721018</v>
      </c>
      <c r="J66" s="1" cm="1">
        <f t="array" ref="J66">_xll.Turner.GasRateStd(I66, $D$3, C66, D66+459.67, $B$5)</f>
        <v>1.9231460739366528</v>
      </c>
      <c r="K66" s="1">
        <f t="shared" si="0"/>
        <v>0.52772217860845394</v>
      </c>
    </row>
    <row r="67" spans="1:11" x14ac:dyDescent="0.45">
      <c r="A67">
        <f t="shared" si="1"/>
        <v>44</v>
      </c>
      <c r="B67" s="2">
        <v>4300</v>
      </c>
      <c r="C67" s="2">
        <v>1847.6159760088574</v>
      </c>
      <c r="D67" s="2">
        <v>126.55000000000001</v>
      </c>
      <c r="E67" s="1">
        <v>7.6579779492849607</v>
      </c>
      <c r="F67" s="1">
        <v>0.59489316585517305</v>
      </c>
      <c r="G67" s="1">
        <v>4.6698847511192678</v>
      </c>
      <c r="H67" s="1">
        <v>2.9403362076831625</v>
      </c>
      <c r="I67" s="1" cm="1">
        <f t="array" ref="I67">_xll.Turner.GasVelocityWater($B$5,C67,D67+459.67)</f>
        <v>5.6063614687966252</v>
      </c>
      <c r="J67" s="1" cm="1">
        <f t="array" ref="J67">_xll.Turner.GasRateStd(I67, $D$3, C67, D67+459.67, $B$5)</f>
        <v>1.934578473157273</v>
      </c>
      <c r="K67" s="1">
        <f t="shared" si="0"/>
        <v>0.5244642579769816</v>
      </c>
    </row>
    <row r="68" spans="1:11" x14ac:dyDescent="0.45">
      <c r="A68">
        <f t="shared" si="1"/>
        <v>45</v>
      </c>
      <c r="B68" s="2">
        <v>4400</v>
      </c>
      <c r="C68" s="2">
        <v>1873.6235507873951</v>
      </c>
      <c r="D68" s="2">
        <v>127.4</v>
      </c>
      <c r="E68" s="1">
        <v>7.755664010073362</v>
      </c>
      <c r="F68" s="1">
        <v>0.59632099401836014</v>
      </c>
      <c r="G68" s="1">
        <v>4.6698847511192678</v>
      </c>
      <c r="H68" s="1">
        <v>2.9033013566183143</v>
      </c>
      <c r="I68" s="1" cm="1">
        <f t="array" ref="I68">_xll.Turner.GasVelocityWater($B$5,C68,D68+459.67)</f>
        <v>5.5693946727136501</v>
      </c>
      <c r="J68" s="1" cm="1">
        <f t="array" ref="J68">_xll.Turner.GasRateStd(I68, $D$3, C68, D68+459.67, $B$5)</f>
        <v>1.9458307776313608</v>
      </c>
      <c r="K68" s="1">
        <f t="shared" si="0"/>
        <v>0.52129567524502629</v>
      </c>
    </row>
    <row r="69" spans="1:11" x14ac:dyDescent="0.45">
      <c r="A69">
        <f t="shared" si="1"/>
        <v>46</v>
      </c>
      <c r="B69" s="2">
        <v>4500</v>
      </c>
      <c r="C69" s="2">
        <v>1899.6895384952463</v>
      </c>
      <c r="D69" s="2">
        <v>128.25</v>
      </c>
      <c r="E69" s="1">
        <v>7.8525516962493338</v>
      </c>
      <c r="F69" s="1">
        <v>0.59772745073626488</v>
      </c>
      <c r="G69" s="1">
        <v>4.6698847511192678</v>
      </c>
      <c r="H69" s="1">
        <v>2.8674793510339804</v>
      </c>
      <c r="I69" s="1" cm="1">
        <f t="array" ref="I69">_xll.Turner.GasVelocityWater($B$5,C69,D69+459.67)</f>
        <v>5.5333925617943187</v>
      </c>
      <c r="J69" s="1" cm="1">
        <f t="array" ref="J69">_xll.Turner.GasRateStd(I69, $D$3, C69, D69+459.67, $B$5)</f>
        <v>1.95690442474341</v>
      </c>
      <c r="K69" s="1">
        <f t="shared" si="0"/>
        <v>0.51821361289865542</v>
      </c>
    </row>
    <row r="70" spans="1:11" x14ac:dyDescent="0.45">
      <c r="A70">
        <f t="shared" si="1"/>
        <v>47</v>
      </c>
      <c r="B70" s="2">
        <v>4600</v>
      </c>
      <c r="C70" s="2">
        <v>1925.813010398294</v>
      </c>
      <c r="D70" s="2">
        <v>129.1</v>
      </c>
      <c r="E70" s="1">
        <v>7.9486223600580477</v>
      </c>
      <c r="F70" s="1">
        <v>0.59911308701890753</v>
      </c>
      <c r="G70" s="1">
        <v>4.6698847511192678</v>
      </c>
      <c r="H70" s="1">
        <v>2.8328216918532014</v>
      </c>
      <c r="I70" s="1" cm="1">
        <f t="array" ref="I70">_xll.Turner.GasVelocityWater($B$5,C70,D70+459.67)</f>
        <v>5.498325578265864</v>
      </c>
      <c r="J70" s="1" cm="1">
        <f t="array" ref="J70">_xll.Turner.GasRateStd(I70, $D$3, C70, D70+459.67, $B$5)</f>
        <v>1.9678009679982096</v>
      </c>
      <c r="K70" s="1">
        <f t="shared" si="0"/>
        <v>0.5152153417489429</v>
      </c>
    </row>
    <row r="71" spans="1:11" x14ac:dyDescent="0.45">
      <c r="A71">
        <f t="shared" si="1"/>
        <v>48</v>
      </c>
      <c r="B71" s="2">
        <v>4700</v>
      </c>
      <c r="C71" s="2">
        <v>1951.9930536568093</v>
      </c>
      <c r="D71" s="2">
        <v>129.94999999999999</v>
      </c>
      <c r="E71" s="1">
        <v>8.0438589777322971</v>
      </c>
      <c r="F71" s="1">
        <v>0.60047844901161629</v>
      </c>
      <c r="G71" s="1">
        <v>4.6698847511192678</v>
      </c>
      <c r="H71" s="1">
        <v>2.7992820242442593</v>
      </c>
      <c r="I71" s="1" cm="1">
        <f t="array" ref="I71">_xll.Turner.GasVelocityWater($B$5,C71,D71+459.67)</f>
        <v>5.4641650622960176</v>
      </c>
      <c r="J71" s="1" cm="1">
        <f t="array" ref="J71">_xll.Turner.GasRateStd(I71, $D$3, C71, D71+459.67, $B$5)</f>
        <v>1.978522069808262</v>
      </c>
      <c r="K71" s="1">
        <f t="shared" si="0"/>
        <v>0.51229821799490327</v>
      </c>
    </row>
    <row r="72" spans="1:11" x14ac:dyDescent="0.45">
      <c r="A72">
        <f t="shared" si="1"/>
        <v>49</v>
      </c>
      <c r="B72" s="2">
        <v>4800</v>
      </c>
      <c r="C72" s="2">
        <v>1978.2287714854967</v>
      </c>
      <c r="D72" s="2">
        <v>130.80000000000001</v>
      </c>
      <c r="E72" s="1">
        <v>8.1382461192080964</v>
      </c>
      <c r="F72" s="1">
        <v>0.60182407747052369</v>
      </c>
      <c r="G72" s="1">
        <v>4.6698847511192678</v>
      </c>
      <c r="H72" s="1">
        <v>2.7668160328521592</v>
      </c>
      <c r="I72" s="1" cm="1">
        <f t="array" ref="I72">_xll.Turner.GasVelocityWater($B$5,C72,D72+459.67)</f>
        <v>5.4308832254447559</v>
      </c>
      <c r="J72" s="1" cm="1">
        <f t="array" ref="J72">_xll.Turner.GasRateStd(I72, $D$3, C72, D72+459.67, $B$5)</f>
        <v>1.9890694940873734</v>
      </c>
      <c r="K72" s="1">
        <f t="shared" si="0"/>
        <v>0.50945968049710255</v>
      </c>
    </row>
    <row r="73" spans="1:11" x14ac:dyDescent="0.45">
      <c r="A73">
        <f t="shared" si="1"/>
        <v>50</v>
      </c>
      <c r="B73" s="2">
        <v>4900</v>
      </c>
      <c r="C73" s="2">
        <v>2004.5192832831838</v>
      </c>
      <c r="D73" s="2">
        <v>131.65</v>
      </c>
      <c r="E73" s="1">
        <v>8.2317699122285486</v>
      </c>
      <c r="F73" s="1">
        <v>0.603150507226764</v>
      </c>
      <c r="G73" s="1">
        <v>4.6698847511192678</v>
      </c>
      <c r="H73" s="1">
        <v>2.7353813435033065</v>
      </c>
      <c r="I73" s="1" cm="1">
        <f t="array" ref="I73">_xll.Turner.GasVelocityWater($B$5,C73,D73+459.67)</f>
        <v>5.3984531257033304</v>
      </c>
      <c r="J73" s="1" cm="1">
        <f t="array" ref="J73">_xll.Turner.GasRateStd(I73, $D$3, C73, D73+459.67, $B$5)</f>
        <v>1.9994450987263099</v>
      </c>
      <c r="K73" s="1">
        <f t="shared" si="0"/>
        <v>0.50669724823199813</v>
      </c>
    </row>
    <row r="74" spans="1:11" x14ac:dyDescent="0.45">
      <c r="A74">
        <f t="shared" si="1"/>
        <v>51</v>
      </c>
      <c r="B74" s="2">
        <v>5000</v>
      </c>
      <c r="C74" s="2">
        <v>2030.863724731702</v>
      </c>
      <c r="D74" s="2">
        <v>132.5</v>
      </c>
      <c r="E74" s="1">
        <v>8.3244180015210674</v>
      </c>
      <c r="F74" s="1">
        <v>0.60445826664821389</v>
      </c>
      <c r="G74" s="1">
        <v>4.6698847511192678</v>
      </c>
      <c r="H74" s="1">
        <v>2.7049374307978571</v>
      </c>
      <c r="I74" s="1" cm="1">
        <f t="array" ref="I74">_xll.Turner.GasVelocityWater($B$5,C74,D74+459.67)</f>
        <v>5.3668486438770415</v>
      </c>
      <c r="J74" s="1" cm="1">
        <f t="array" ref="J74">_xll.Turner.GasRateStd(I74, $D$3, C74, D74+459.67, $B$5)</f>
        <v>2.0096508280203538</v>
      </c>
      <c r="K74" s="1">
        <f t="shared" si="0"/>
        <v>0.50400851790070145</v>
      </c>
    </row>
    <row r="75" spans="1:11" x14ac:dyDescent="0.45">
      <c r="A75">
        <f t="shared" si="1"/>
        <v>52</v>
      </c>
      <c r="B75" s="2">
        <v>5100</v>
      </c>
      <c r="C75" s="2">
        <v>2057.2612478638798</v>
      </c>
      <c r="D75" s="2">
        <v>133.35</v>
      </c>
      <c r="E75" s="1">
        <v>8.4161795037227307</v>
      </c>
      <c r="F75" s="1">
        <v>0.6057478771066136</v>
      </c>
      <c r="G75" s="1">
        <v>4.6698847511192678</v>
      </c>
      <c r="H75" s="1">
        <v>2.6754455310704657</v>
      </c>
      <c r="I75" s="1" cm="1">
        <f t="array" ref="I75">_xll.Turner.GasVelocityWater($B$5,C75,D75+459.67)</f>
        <v>5.3360444611018227</v>
      </c>
      <c r="J75" s="1" cm="1">
        <f t="array" ref="J75">_xll.Turner.GasRateStd(I75, $D$3, C75, D75+459.67, $B$5)</f>
        <v>2.0196887051122117</v>
      </c>
      <c r="K75" s="1">
        <f t="shared" si="0"/>
        <v>0.50139116166922293</v>
      </c>
    </row>
    <row r="76" spans="1:11" x14ac:dyDescent="0.45">
      <c r="A76">
        <f t="shared" si="1"/>
        <v>53</v>
      </c>
      <c r="B76" s="2">
        <v>5200</v>
      </c>
      <c r="C76" s="2">
        <v>2083.7110211008853</v>
      </c>
      <c r="D76" s="2">
        <v>134.19999999999999</v>
      </c>
      <c r="E76" s="1">
        <v>8.507044958709681</v>
      </c>
      <c r="F76" s="1">
        <v>0.60701985245684986</v>
      </c>
      <c r="G76" s="1">
        <v>4.6698847511192678</v>
      </c>
      <c r="H76" s="1">
        <v>2.646868560259394</v>
      </c>
      <c r="I76" s="1" cm="1">
        <f t="array" ref="I76">_xll.Turner.GasVelocityWater($B$5,C76,D76+459.67)</f>
        <v>5.3060160373154552</v>
      </c>
      <c r="J76" s="1" cm="1">
        <f t="array" ref="J76">_xll.Turner.GasRateStd(I76, $D$3, C76, D76+459.67, $B$5)</f>
        <v>2.029560824507143</v>
      </c>
      <c r="K76" s="1">
        <f t="shared" si="0"/>
        <v>0.49884292502036237</v>
      </c>
    </row>
    <row r="77" spans="1:11" x14ac:dyDescent="0.45">
      <c r="A77">
        <f t="shared" si="1"/>
        <v>54</v>
      </c>
      <c r="B77" s="2">
        <v>5300</v>
      </c>
      <c r="C77" s="2">
        <v>2110.212229259444</v>
      </c>
      <c r="D77" s="2">
        <v>135.05000000000001</v>
      </c>
      <c r="E77" s="1">
        <v>8.5970062779604319</v>
      </c>
      <c r="F77" s="1">
        <v>0.60827469853421567</v>
      </c>
      <c r="G77" s="1">
        <v>4.6698847511192678</v>
      </c>
      <c r="H77" s="1">
        <v>2.6191710362765734</v>
      </c>
      <c r="I77" s="1" cm="1">
        <f t="array" ref="I77">_xll.Turner.GasVelocityWater($B$5,C77,D77+459.67)</f>
        <v>5.2767395905319709</v>
      </c>
      <c r="J77" s="1" cm="1">
        <f t="array" ref="J77">_xll.Turner.GasRateStd(I77, $D$3, C77, D77+459.67, $B$5)</f>
        <v>2.0392693447106081</v>
      </c>
      <c r="K77" s="1">
        <f t="shared" si="0"/>
        <v>0.49636162470024858</v>
      </c>
    </row>
    <row r="78" spans="1:11" x14ac:dyDescent="0.45">
      <c r="A78">
        <f t="shared" si="1"/>
        <v>55</v>
      </c>
      <c r="B78" s="2">
        <v>5400</v>
      </c>
      <c r="C78" s="2">
        <v>2136.7645400493329</v>
      </c>
      <c r="D78" s="2">
        <v>135.9</v>
      </c>
      <c r="E78" s="1">
        <v>8.6860566905510339</v>
      </c>
      <c r="F78" s="1">
        <v>0.60952352645804309</v>
      </c>
      <c r="G78" s="1">
        <v>4.6698847511192678</v>
      </c>
      <c r="H78" s="1">
        <v>2.5923190055179535</v>
      </c>
      <c r="I78" s="1" cm="1">
        <f t="array" ref="I78">_xll.Turner.GasVelocityWater($B$5,C78,D78+459.67)</f>
        <v>5.2481914349959604</v>
      </c>
      <c r="J78" s="1" cm="1">
        <f t="array" ref="J78">_xll.Turner.GasRateStd(I78, $D$3, C78, D78+459.67, $B$5)</f>
        <v>2.0488166965660097</v>
      </c>
      <c r="K78" s="1">
        <f t="shared" si="0"/>
        <v>0.49394520714924128</v>
      </c>
    </row>
    <row r="79" spans="1:11" x14ac:dyDescent="0.45">
      <c r="A79">
        <f t="shared" si="1"/>
        <v>56</v>
      </c>
      <c r="B79" s="2">
        <v>5500</v>
      </c>
      <c r="C79" s="2">
        <v>2163.377829838375</v>
      </c>
      <c r="D79" s="2">
        <v>136.75</v>
      </c>
      <c r="E79" s="1">
        <v>8.7741926833698027</v>
      </c>
      <c r="F79" s="1">
        <v>0.61099672867153554</v>
      </c>
      <c r="G79" s="1">
        <v>4.6698847511192678</v>
      </c>
      <c r="H79" s="1">
        <v>2.5662793893960818</v>
      </c>
      <c r="I79" s="1" cm="1">
        <f t="array" ref="I79">_xll.Turner.GasVelocityWater($B$5,C79,D79+459.67)</f>
        <v>5.2203349617063299</v>
      </c>
      <c r="J79" s="1" cm="1">
        <f t="array" ref="J79">_xll.Turner.GasRateStd(I79, $D$3, C79, D79+459.67, $B$5)</f>
        <v>2.0582099866510144</v>
      </c>
      <c r="K79" s="1">
        <f t="shared" si="0"/>
        <v>0.49159285912129713</v>
      </c>
    </row>
    <row r="80" spans="1:11" x14ac:dyDescent="0.45">
      <c r="A80">
        <f t="shared" si="1"/>
        <v>57</v>
      </c>
      <c r="B80" s="2">
        <v>5600</v>
      </c>
      <c r="C80" s="2">
        <v>2190.0510240322265</v>
      </c>
      <c r="D80" s="2">
        <v>137.6</v>
      </c>
      <c r="E80" s="1">
        <v>8.8614551066703662</v>
      </c>
      <c r="F80" s="1">
        <v>0.61244348508615509</v>
      </c>
      <c r="G80" s="1">
        <v>4.6698847511192678</v>
      </c>
      <c r="H80" s="1">
        <v>2.5410081720069169</v>
      </c>
      <c r="I80" s="1" cm="1">
        <f t="array" ref="I80">_xll.Turner.GasVelocityWater($B$5,C80,D80+459.67)</f>
        <v>5.1931499682033255</v>
      </c>
      <c r="J80" s="1" cm="1">
        <f t="array" ref="J80">_xll.Turner.GasRateStd(I80, $D$3, C80, D80+459.67, $B$5)</f>
        <v>2.0674511586981876</v>
      </c>
      <c r="K80" s="1">
        <f t="shared" si="0"/>
        <v>0.48929997931217645</v>
      </c>
    </row>
    <row r="81" spans="1:11" x14ac:dyDescent="0.45">
      <c r="A81">
        <f t="shared" si="1"/>
        <v>58</v>
      </c>
      <c r="B81" s="2">
        <v>5700</v>
      </c>
      <c r="C81" s="2">
        <v>2216.7830662072924</v>
      </c>
      <c r="D81" s="2">
        <v>138.44999999999999</v>
      </c>
      <c r="E81" s="1">
        <v>8.9478382563912771</v>
      </c>
      <c r="F81" s="1">
        <v>0.61386432392977719</v>
      </c>
      <c r="G81" s="1">
        <v>4.6698847511192678</v>
      </c>
      <c r="H81" s="1">
        <v>2.5164770748776464</v>
      </c>
      <c r="I81" s="1" cm="1">
        <f t="array" ref="I81">_xll.Turner.GasVelocityWater($B$5,C81,D81+459.67)</f>
        <v>5.1666168321739034</v>
      </c>
      <c r="J81" s="1" cm="1">
        <f t="array" ref="J81">_xll.Turner.GasRateStd(I81, $D$3, C81, D81+459.67, $B$5)</f>
        <v>2.0765422088607322</v>
      </c>
      <c r="K81" s="1">
        <f t="shared" si="0"/>
        <v>0.48706477693620925</v>
      </c>
    </row>
    <row r="82" spans="1:11" x14ac:dyDescent="0.45">
      <c r="A82">
        <f t="shared" si="1"/>
        <v>59</v>
      </c>
      <c r="B82" s="2">
        <v>5800</v>
      </c>
      <c r="C82" s="2">
        <v>2243.5729181809966</v>
      </c>
      <c r="D82" s="2">
        <v>139.30000000000001</v>
      </c>
      <c r="E82" s="1">
        <v>9.033337564224599</v>
      </c>
      <c r="F82" s="1">
        <v>0.61525976942822846</v>
      </c>
      <c r="G82" s="1">
        <v>4.6698847511192678</v>
      </c>
      <c r="H82" s="1">
        <v>2.4926589626294606</v>
      </c>
      <c r="I82" s="1" cm="1">
        <f t="array" ref="I82">_xll.Turner.GasVelocityWater($B$5,C82,D82+459.67)</f>
        <v>5.1407164994237942</v>
      </c>
      <c r="J82" s="1" cm="1">
        <f t="array" ref="J82">_xll.Turner.GasRateStd(I82, $D$3, C82, D82+459.67, $B$5)</f>
        <v>2.085485179297498</v>
      </c>
      <c r="K82" s="1">
        <f t="shared" si="0"/>
        <v>0.48488551409299746</v>
      </c>
    </row>
    <row r="83" spans="1:11" x14ac:dyDescent="0.45">
      <c r="A83">
        <f t="shared" si="1"/>
        <v>60</v>
      </c>
      <c r="B83" s="2">
        <v>5900</v>
      </c>
      <c r="C83" s="2">
        <v>2270.4195600487819</v>
      </c>
      <c r="D83" s="2">
        <v>140.15</v>
      </c>
      <c r="E83" s="1">
        <v>9.1179495444445209</v>
      </c>
      <c r="F83" s="1">
        <v>0.61663034125588179</v>
      </c>
      <c r="G83" s="1">
        <v>4.6698847511192678</v>
      </c>
      <c r="H83" s="1">
        <v>2.4695277959331587</v>
      </c>
      <c r="I83" s="1" cm="1">
        <f t="array" ref="I83">_xll.Turner.GasVelocityWater($B$5,C83,D83+459.67)</f>
        <v>5.1154304718579517</v>
      </c>
      <c r="J83" s="1" cm="1">
        <f t="array" ref="J83">_xll.Turner.GasRateStd(I83, $D$3, C83, D83+459.67, $B$5)</f>
        <v>2.0942821520074424</v>
      </c>
      <c r="K83" s="1">
        <f t="shared" si="0"/>
        <v>0.4827605046181408</v>
      </c>
    </row>
    <row r="84" spans="1:11" x14ac:dyDescent="0.45">
      <c r="A84">
        <f t="shared" si="1"/>
        <v>61</v>
      </c>
      <c r="B84" s="2">
        <v>6000</v>
      </c>
      <c r="C84" s="2">
        <v>2297.3219901896587</v>
      </c>
      <c r="D84" s="2">
        <v>141</v>
      </c>
      <c r="E84" s="1">
        <v>9.2016717404494219</v>
      </c>
      <c r="F84" s="1">
        <v>0.61797655402562268</v>
      </c>
      <c r="G84" s="1">
        <v>4.6698847511192678</v>
      </c>
      <c r="H84" s="1">
        <v>2.4470585864239998</v>
      </c>
      <c r="I84" s="1" cm="1">
        <f t="array" ref="I84">_xll.Turner.GasVelocityWater($B$5,C84,D84+459.67)</f>
        <v>5.0907407954522101</v>
      </c>
      <c r="J84" s="1" cm="1">
        <f t="array" ref="J84">_xll.Turner.GasRateStd(I84, $D$3, C84, D84+459.67, $B$5)</f>
        <v>2.1029352429300547</v>
      </c>
      <c r="K84" s="1">
        <f t="shared" si="0"/>
        <v>0.4806881129383111</v>
      </c>
    </row>
    <row r="85" spans="1:11" x14ac:dyDescent="0.45">
      <c r="A85">
        <f t="shared" si="1"/>
        <v>62</v>
      </c>
      <c r="B85" s="2">
        <v>6100</v>
      </c>
      <c r="C85" s="2">
        <v>2324.2792252421618</v>
      </c>
      <c r="D85" s="2">
        <v>141.85</v>
      </c>
      <c r="E85" s="1">
        <v>9.2845026713598564</v>
      </c>
      <c r="F85" s="1">
        <v>0.61929891681869031</v>
      </c>
      <c r="G85" s="1">
        <v>4.6698847511192678</v>
      </c>
      <c r="H85" s="1">
        <v>2.4252273534672661</v>
      </c>
      <c r="I85" s="1" cm="1">
        <f t="array" ref="I85">_xll.Turner.GasVelocityWater($B$5,C85,D85+459.67)</f>
        <v>5.0666300482075028</v>
      </c>
      <c r="J85" s="1" cm="1">
        <f t="array" ref="J85">_xll.Turner.GasRateStd(I85, $D$3, C85, D85+459.67, $B$5)</f>
        <v>2.1114465963240994</v>
      </c>
      <c r="K85" s="1">
        <f t="shared" si="0"/>
        <v>0.47866675292885752</v>
      </c>
    </row>
    <row r="86" spans="1:11" x14ac:dyDescent="0.45">
      <c r="A86">
        <f t="shared" si="1"/>
        <v>63</v>
      </c>
      <c r="B86" s="2">
        <v>6200</v>
      </c>
      <c r="C86" s="2">
        <v>2351.2903000526053</v>
      </c>
      <c r="D86" s="2">
        <v>142.69999999999999</v>
      </c>
      <c r="E86" s="1">
        <v>9.3664417789777339</v>
      </c>
      <c r="F86" s="1">
        <v>0.62059793275446562</v>
      </c>
      <c r="G86" s="1">
        <v>4.6698847511192678</v>
      </c>
      <c r="H86" s="1">
        <v>2.4040110826781187</v>
      </c>
      <c r="I86" s="1" cm="1">
        <f t="array" ref="I86">_xll.Turner.GasVelocityWater($B$5,C86,D86+459.67)</f>
        <v>5.0430813280847611</v>
      </c>
      <c r="J86" s="1" cm="1">
        <f t="array" ref="J86">_xll.Turner.GasRateStd(I86, $D$3, C86, D86+459.67, $B$5)</f>
        <v>2.1198183794332519</v>
      </c>
      <c r="K86" s="1">
        <f t="shared" si="0"/>
        <v>0.47669488677294508</v>
      </c>
    </row>
    <row r="87" spans="1:11" x14ac:dyDescent="0.45">
      <c r="A87">
        <f t="shared" si="1"/>
        <v>64</v>
      </c>
      <c r="B87" s="2">
        <v>6300</v>
      </c>
      <c r="C87" s="2">
        <v>2378.354267597525</v>
      </c>
      <c r="D87" s="2">
        <v>143.55000000000001</v>
      </c>
      <c r="E87" s="1">
        <v>9.4474893753761524</v>
      </c>
      <c r="F87" s="1">
        <v>0.62187409859982457</v>
      </c>
      <c r="G87" s="1">
        <v>4.6698847511192678</v>
      </c>
      <c r="H87" s="1">
        <v>2.3833876861094971</v>
      </c>
      <c r="I87" s="1" cm="1">
        <f t="array" ref="I87">_xll.Turner.GasVelocityWater($B$5,C87,D87+459.67)</f>
        <v>5.0200782409244207</v>
      </c>
      <c r="J87" s="1" cm="1">
        <f t="array" ref="J87">_xll.Turner.GasRateStd(I87, $D$3, C87, D87+459.67, $B$5)</f>
        <v>2.1280527774438101</v>
      </c>
      <c r="K87" s="1">
        <f t="shared" si="0"/>
        <v>0.4747710238218536</v>
      </c>
    </row>
    <row r="88" spans="1:11" x14ac:dyDescent="0.45">
      <c r="A88">
        <f t="shared" si="1"/>
        <v>65</v>
      </c>
      <c r="B88" s="2">
        <v>6400</v>
      </c>
      <c r="C88" s="2">
        <v>2405.4701988821957</v>
      </c>
      <c r="D88" s="2">
        <v>144.4</v>
      </c>
      <c r="E88" s="1">
        <v>9.5276465913546247</v>
      </c>
      <c r="F88" s="1">
        <v>0.62312790441741217</v>
      </c>
      <c r="G88" s="1">
        <v>4.6698847511192678</v>
      </c>
      <c r="H88" s="1">
        <v>2.3633359640305875</v>
      </c>
      <c r="I88" s="1" cm="1">
        <f t="array" ref="I88">_xll.Turner.GasVelocityWater($B$5,C88,D88+459.67)</f>
        <v>4.9976048883588389</v>
      </c>
      <c r="J88" s="1" cm="1">
        <f t="array" ref="J88">_xll.Turner.GasRateStd(I88, $D$3, C88, D88+459.67, $B$5)</f>
        <v>2.1361519887366187</v>
      </c>
      <c r="K88" s="1">
        <f t="shared" si="0"/>
        <v>0.47289371945661801</v>
      </c>
    </row>
    <row r="89" spans="1:11" x14ac:dyDescent="0.45">
      <c r="A89">
        <f t="shared" si="1"/>
        <v>66</v>
      </c>
      <c r="B89" s="2">
        <v>6500</v>
      </c>
      <c r="C89" s="2">
        <v>2432.6371828170695</v>
      </c>
      <c r="D89" s="2">
        <v>145.25</v>
      </c>
      <c r="E89" s="1">
        <v>9.6069153259617242</v>
      </c>
      <c r="F89" s="1">
        <v>0.62435983325182864</v>
      </c>
      <c r="G89" s="1">
        <v>4.6698847511192678</v>
      </c>
      <c r="H89" s="1">
        <v>2.3438355682257148</v>
      </c>
      <c r="I89" s="1" cm="1">
        <f t="array" ref="I89">_xll.Turner.GasVelocityWater($B$5,C89,D89+459.67)</f>
        <v>4.9756458557294447</v>
      </c>
      <c r="J89" s="1" cm="1">
        <f t="array" ref="J89">_xll.Turner.GasRateStd(I89, $D$3, C89, D89+459.67, $B$5)</f>
        <v>2.1441182204327185</v>
      </c>
      <c r="K89" s="1">
        <f t="shared" ref="K89:K124" si="2">H89/I89</f>
        <v>0.47106157395160941</v>
      </c>
    </row>
    <row r="90" spans="1:11" x14ac:dyDescent="0.45">
      <c r="A90">
        <f t="shared" ref="A90:A123" si="3">A89+1</f>
        <v>67</v>
      </c>
      <c r="B90" s="2">
        <v>6600</v>
      </c>
      <c r="C90" s="2">
        <v>2459.8543260739566</v>
      </c>
      <c r="D90" s="2">
        <v>146.1</v>
      </c>
      <c r="E90" s="1">
        <v>9.6852981972563974</v>
      </c>
      <c r="F90" s="1">
        <v>0.62557036085255058</v>
      </c>
      <c r="G90" s="1">
        <v>4.6698847511192678</v>
      </c>
      <c r="H90" s="1">
        <v>2.3248669667496999</v>
      </c>
      <c r="I90" s="1" cm="1">
        <f t="array" ref="I90">_xll.Turner.GasVelocityWater($B$5,C90,D90+459.67)</f>
        <v>4.9541862000229129</v>
      </c>
      <c r="J90" s="1" cm="1">
        <f t="array" ref="J90">_xll.Turner.GasRateStd(I90, $D$3, C90, D90+459.67, $B$5)</f>
        <v>2.1519536842299103</v>
      </c>
      <c r="K90" s="1">
        <f t="shared" si="2"/>
        <v>0.46927323134099147</v>
      </c>
    </row>
    <row r="91" spans="1:11" x14ac:dyDescent="0.45">
      <c r="A91">
        <f t="shared" si="3"/>
        <v>68</v>
      </c>
      <c r="B91" s="2">
        <v>6700</v>
      </c>
      <c r="C91" s="2">
        <v>2487.1207529237095</v>
      </c>
      <c r="D91" s="2">
        <v>146.94999999999999</v>
      </c>
      <c r="E91" s="1">
        <v>9.7627984944506245</v>
      </c>
      <c r="F91" s="1">
        <v>0.626759955432173</v>
      </c>
      <c r="G91" s="1">
        <v>4.6698847511192678</v>
      </c>
      <c r="H91" s="1">
        <v>2.3064114100809276</v>
      </c>
      <c r="I91" s="1" cm="1">
        <f t="array" ref="I91">_xll.Turner.GasVelocityWater($B$5,C91,D91+459.67)</f>
        <v>4.9332114378425542</v>
      </c>
      <c r="J91" s="1" cm="1">
        <f t="array" ref="J91">_xll.Turner.GasRateStd(I91, $D$3, C91, D91+459.67, $B$5)</f>
        <v>2.1596605925254395</v>
      </c>
      <c r="K91" s="1">
        <f t="shared" si="2"/>
        <v>0.46752737828922097</v>
      </c>
    </row>
    <row r="92" spans="1:11" x14ac:dyDescent="0.45">
      <c r="A92">
        <f t="shared" si="3"/>
        <v>69</v>
      </c>
      <c r="B92" s="2">
        <v>6800</v>
      </c>
      <c r="C92" s="2">
        <v>2514.4356050571205</v>
      </c>
      <c r="D92" s="2">
        <v>147.80000000000001</v>
      </c>
      <c r="E92" s="1">
        <v>9.8394201315493515</v>
      </c>
      <c r="F92" s="1">
        <v>0.62792907745843507</v>
      </c>
      <c r="G92" s="1">
        <v>4.6698847511192678</v>
      </c>
      <c r="H92" s="1">
        <v>2.2884508986177639</v>
      </c>
      <c r="I92" s="1" cm="1">
        <f t="array" ref="I92">_xll.Turner.GasVelocityWater($B$5,C92,D92+459.67)</f>
        <v>4.9127075334320782</v>
      </c>
      <c r="J92" s="1" cm="1">
        <f t="array" ref="J92">_xll.Turner.GasRateStd(I92, $D$3, C92, D92+459.67, $B$5)</f>
        <v>2.1672411548183788</v>
      </c>
      <c r="K92" s="1">
        <f t="shared" si="2"/>
        <v>0.46582274296695692</v>
      </c>
    </row>
    <row r="93" spans="1:11" x14ac:dyDescent="0.45">
      <c r="A93">
        <f t="shared" si="3"/>
        <v>70</v>
      </c>
      <c r="B93" s="2">
        <v>6900</v>
      </c>
      <c r="C93" s="2">
        <v>2541.7980413906721</v>
      </c>
      <c r="D93" s="2">
        <v>148.65</v>
      </c>
      <c r="E93" s="1">
        <v>9.9151676025799045</v>
      </c>
      <c r="F93" s="1">
        <v>0.62907817947838407</v>
      </c>
      <c r="G93" s="1">
        <v>4.6698847511192678</v>
      </c>
      <c r="H93" s="1">
        <v>2.2709681514675504</v>
      </c>
      <c r="I93" s="1" cm="1">
        <f t="array" ref="I93">_xll.Turner.GasVelocityWater($B$5,C93,D93+459.67)</f>
        <v>4.8926608867695389</v>
      </c>
      <c r="J93" s="1" cm="1">
        <f t="array" ref="J93">_xll.Turner.GasRateStd(I93, $D$3, C93, D93+459.67, $B$5)</f>
        <v>2.1746975743838637</v>
      </c>
      <c r="K93" s="1">
        <f t="shared" si="2"/>
        <v>0.46415809393382973</v>
      </c>
    </row>
    <row r="94" spans="1:11" x14ac:dyDescent="0.45">
      <c r="A94">
        <f t="shared" si="3"/>
        <v>71</v>
      </c>
      <c r="B94" s="2">
        <v>7000</v>
      </c>
      <c r="C94" s="2">
        <v>2569.2072378587118</v>
      </c>
      <c r="D94" s="2">
        <v>149.5</v>
      </c>
      <c r="E94" s="1">
        <v>9.990045938480721</v>
      </c>
      <c r="F94" s="1">
        <v>0.63020770597292297</v>
      </c>
      <c r="G94" s="1">
        <v>4.6698847511192678</v>
      </c>
      <c r="H94" s="1">
        <v>2.2539465764805278</v>
      </c>
      <c r="I94" s="1" cm="1">
        <f t="array" ref="I94">_xll.Turner.GasVelocityWater($B$5,C94,D94+459.67)</f>
        <v>4.8730583217493182</v>
      </c>
      <c r="J94" s="1" cm="1">
        <f t="array" ref="J94">_xll.Turner.GasRateStd(I94, $D$3, C94, D94+459.67, $B$5)</f>
        <v>2.1820320452102626</v>
      </c>
      <c r="K94" s="1">
        <f t="shared" si="2"/>
        <v>0.46253223902959811</v>
      </c>
    </row>
    <row r="95" spans="1:11" x14ac:dyDescent="0.45">
      <c r="A95">
        <f t="shared" si="3"/>
        <v>72</v>
      </c>
      <c r="B95" s="2">
        <v>7100</v>
      </c>
      <c r="C95" s="2">
        <v>2596.662387193549</v>
      </c>
      <c r="D95" s="2">
        <v>150.35</v>
      </c>
      <c r="E95" s="1">
        <v>10.064060665699678</v>
      </c>
      <c r="F95" s="1">
        <v>0.63131809323998433</v>
      </c>
      <c r="G95" s="1">
        <v>4.6698847511192678</v>
      </c>
      <c r="H95" s="1">
        <v>2.2373702414835748</v>
      </c>
      <c r="I95" s="1" cm="1">
        <f t="array" ref="I95">_xll.Turner.GasVelocityWater($B$5,C95,D95+459.67)</f>
        <v>4.8538870744696805</v>
      </c>
      <c r="J95" s="1" cm="1">
        <f t="array" ref="J95">_xll.Turner.GasRateStd(I95, $D$3, C95, D95+459.67, $B$5)</f>
        <v>2.1892467491894569</v>
      </c>
      <c r="K95" s="1">
        <f t="shared" si="2"/>
        <v>0.46094402427522946</v>
      </c>
    </row>
    <row r="96" spans="1:11" x14ac:dyDescent="0.45">
      <c r="A96">
        <f t="shared" si="3"/>
        <v>73</v>
      </c>
      <c r="B96" s="2">
        <v>7200</v>
      </c>
      <c r="C96" s="2">
        <v>2624.1626986948954</v>
      </c>
      <c r="D96" s="2">
        <v>151.19999999999999</v>
      </c>
      <c r="E96" s="1">
        <v>10.137217766534683</v>
      </c>
      <c r="F96" s="1">
        <v>0.63240976930450477</v>
      </c>
      <c r="G96" s="1">
        <v>4.6698847511192678</v>
      </c>
      <c r="H96" s="1">
        <v>2.2212238466708083</v>
      </c>
      <c r="I96" s="1" cm="1">
        <f t="array" ref="I96">_xll.Turner.GasVelocityWater($B$5,C96,D96+459.67)</f>
        <v>4.8351347816428696</v>
      </c>
      <c r="J96" s="1" cm="1">
        <f t="array" ref="J96">_xll.Turner.GasRateStd(I96, $D$3, C96, D96+459.67, $B$5)</f>
        <v>2.1963438535497479</v>
      </c>
      <c r="K96" s="1">
        <f t="shared" si="2"/>
        <v>0.45939233278541342</v>
      </c>
    </row>
    <row r="97" spans="1:11" x14ac:dyDescent="0.45">
      <c r="A97">
        <f t="shared" si="3"/>
        <v>74</v>
      </c>
      <c r="B97" s="2">
        <v>7300</v>
      </c>
      <c r="C97" s="2">
        <v>2651.7073979899874</v>
      </c>
      <c r="D97" s="2">
        <v>152.05000000000001</v>
      </c>
      <c r="E97" s="1">
        <v>10.209523641233469</v>
      </c>
      <c r="F97" s="1">
        <v>0.63348315385342269</v>
      </c>
      <c r="G97" s="1">
        <v>4.6698847511192678</v>
      </c>
      <c r="H97" s="1">
        <v>2.2054926981099992</v>
      </c>
      <c r="I97" s="1" cm="1">
        <f t="array" ref="I97">_xll.Turner.GasVelocityWater($B$5,C97,D97+459.67)</f>
        <v>4.8167894691438251</v>
      </c>
      <c r="J97" s="1" cm="1">
        <f t="array" ref="J97">_xll.Turner.GasRateStd(I97, $D$3, C97, D97+459.67, $B$5)</f>
        <v>2.2033255085204417</v>
      </c>
      <c r="K97" s="1">
        <f t="shared" si="2"/>
        <v>0.45787608369398408</v>
      </c>
    </row>
    <row r="98" spans="1:11" x14ac:dyDescent="0.45">
      <c r="A98">
        <f t="shared" si="3"/>
        <v>75</v>
      </c>
      <c r="B98" s="2">
        <v>7400</v>
      </c>
      <c r="C98" s="2">
        <v>2679.2957267856564</v>
      </c>
      <c r="D98" s="2">
        <v>152.9</v>
      </c>
      <c r="E98" s="1">
        <v>10.28098507185598</v>
      </c>
      <c r="F98" s="1">
        <v>0.63453865819387711</v>
      </c>
      <c r="G98" s="1">
        <v>4.6698847511192678</v>
      </c>
      <c r="H98" s="1">
        <v>2.190162682325238</v>
      </c>
      <c r="I98" s="1" cm="1">
        <f t="array" ref="I98">_xll.Turner.GasVelocityWater($B$5,C98,D98+459.67)</f>
        <v>4.7988395407126143</v>
      </c>
      <c r="J98" s="1" cm="1">
        <f t="array" ref="J98">_xll.Turner.GasRateStd(I98, $D$3, C98, D98+459.67, $B$5)</f>
        <v>2.2101938452168266</v>
      </c>
      <c r="K98" s="1">
        <f t="shared" si="2"/>
        <v>0.45639423109362914</v>
      </c>
    </row>
    <row r="99" spans="1:11" x14ac:dyDescent="0.45">
      <c r="A99">
        <f t="shared" si="3"/>
        <v>76</v>
      </c>
      <c r="B99" s="2">
        <v>7500</v>
      </c>
      <c r="C99" s="2">
        <v>2706.926942613532</v>
      </c>
      <c r="D99" s="2">
        <v>153.75</v>
      </c>
      <c r="E99" s="1">
        <v>10.351609187890627</v>
      </c>
      <c r="F99" s="1">
        <v>0.6355766852328848</v>
      </c>
      <c r="G99" s="1">
        <v>4.6698847511192678</v>
      </c>
      <c r="H99" s="1">
        <v>2.1752202419177862</v>
      </c>
      <c r="I99" s="1" cm="1">
        <f t="array" ref="I99">_xll.Turner.GasVelocityWater($B$5,C99,D99+459.67)</f>
        <v>4.7812737668245102</v>
      </c>
      <c r="J99" s="1" cm="1">
        <f t="array" ref="J99">_xll.Turner.GasRateStd(I99, $D$3, C99, D99+459.67, $B$5)</f>
        <v>2.2169509737341309</v>
      </c>
      <c r="K99" s="1">
        <f t="shared" si="2"/>
        <v>0.4549457629912001</v>
      </c>
    </row>
    <row r="100" spans="1:11" x14ac:dyDescent="0.45">
      <c r="A100">
        <f t="shared" si="3"/>
        <v>77</v>
      </c>
      <c r="B100" s="2">
        <v>7600</v>
      </c>
      <c r="C100" s="2">
        <v>2734.6003185694835</v>
      </c>
      <c r="D100" s="2">
        <v>154.60000000000002</v>
      </c>
      <c r="E100" s="1">
        <v>10.421403433605702</v>
      </c>
      <c r="F100" s="1">
        <v>0.63659762947676346</v>
      </c>
      <c r="G100" s="1">
        <v>4.6698847511192678</v>
      </c>
      <c r="H100" s="1">
        <v>2.16065235218815</v>
      </c>
      <c r="I100" s="1" cm="1">
        <f t="array" ref="I100">_xll.Turner.GasVelocityWater($B$5,C100,D100+459.67)</f>
        <v>4.764081273740369</v>
      </c>
      <c r="J100" s="1" cm="1">
        <f t="array" ref="J100">_xll.Turner.GasRateStd(I100, $D$3, C100, D100+459.67, $B$5)</f>
        <v>2.2235989814389603</v>
      </c>
      <c r="K100" s="1">
        <f t="shared" si="2"/>
        <v>0.45352970027981526</v>
      </c>
    </row>
    <row r="101" spans="1:11" x14ac:dyDescent="0.45">
      <c r="A101">
        <f t="shared" si="3"/>
        <v>78</v>
      </c>
      <c r="B101" s="2">
        <v>7700</v>
      </c>
      <c r="C101" s="2">
        <v>2762.3151430483308</v>
      </c>
      <c r="D101" s="2">
        <v>155.44999999999999</v>
      </c>
      <c r="E101" s="1">
        <v>10.490375537108307</v>
      </c>
      <c r="F101" s="1">
        <v>0.63760187704865501</v>
      </c>
      <c r="G101" s="1">
        <v>4.6698847511192678</v>
      </c>
      <c r="H101" s="1">
        <v>2.1464464987235989</v>
      </c>
      <c r="I101" s="1" cm="1">
        <f t="array" ref="I101">_xll.Turner.GasVelocityWater($B$5,C101,D101+459.67)</f>
        <v>4.7472515327487432</v>
      </c>
      <c r="J101" s="1" cm="1">
        <f t="array" ref="J101">_xll.Turner.GasRateStd(I101, $D$3, C101, D101+459.67, $B$5)</f>
        <v>2.2301399314468169</v>
      </c>
      <c r="K101" s="1">
        <f t="shared" si="2"/>
        <v>0.45214509572884759</v>
      </c>
    </row>
    <row r="102" spans="1:11" x14ac:dyDescent="0.45">
      <c r="A102">
        <f t="shared" si="3"/>
        <v>79</v>
      </c>
      <c r="B102" s="2">
        <v>7800</v>
      </c>
      <c r="C102" s="2">
        <v>2790.0707194747833</v>
      </c>
      <c r="D102" s="2">
        <v>156.30000000000001</v>
      </c>
      <c r="E102" s="1">
        <v>10.558533481075834</v>
      </c>
      <c r="F102" s="1">
        <v>0.6385898057225633</v>
      </c>
      <c r="G102" s="1">
        <v>4.6698847511192678</v>
      </c>
      <c r="H102" s="1">
        <v>2.1325906559163093</v>
      </c>
      <c r="I102" s="1" cm="1">
        <f t="array" ref="I102">_xll.Turner.GasVelocityWater($B$5,C102,D102+459.67)</f>
        <v>4.7307743496097778</v>
      </c>
      <c r="J102" s="1" cm="1">
        <f t="array" ref="J102">_xll.Turner.GasRateStd(I102, $D$3, C102, D102+459.67, $B$5)</f>
        <v>2.2365758612744444</v>
      </c>
      <c r="K102" s="1">
        <f t="shared" si="2"/>
        <v>0.45079103299277379</v>
      </c>
    </row>
    <row r="103" spans="1:11" x14ac:dyDescent="0.45">
      <c r="A103">
        <f t="shared" si="3"/>
        <v>80</v>
      </c>
      <c r="B103" s="2">
        <v>7900</v>
      </c>
      <c r="C103" s="2">
        <v>2817.8663660314928</v>
      </c>
      <c r="D103" s="2">
        <v>157.15</v>
      </c>
      <c r="E103" s="1">
        <v>10.625885475119278</v>
      </c>
      <c r="F103" s="1">
        <v>0.63956178497236549</v>
      </c>
      <c r="G103" s="1">
        <v>4.6698847511192678</v>
      </c>
      <c r="H103" s="1">
        <v>2.1190732663782139</v>
      </c>
      <c r="I103" s="1" cm="1">
        <f t="array" ref="I103">_xll.Turner.GasVelocityWater($B$5,C103,D103+459.67)</f>
        <v>4.7146398542096764</v>
      </c>
      <c r="J103" s="1" cm="1">
        <f t="array" ref="J103">_xll.Turner.GasRateStd(I103, $D$3, C103, D103+459.67, $B$5)</f>
        <v>2.2429087816559528</v>
      </c>
      <c r="K103" s="1">
        <f t="shared" si="2"/>
        <v>0.44946662563973044</v>
      </c>
    </row>
    <row r="104" spans="1:11" x14ac:dyDescent="0.45">
      <c r="A104">
        <f t="shared" si="3"/>
        <v>81</v>
      </c>
      <c r="B104" s="2">
        <v>8000</v>
      </c>
      <c r="C104" s="2">
        <v>2845.7014153850328</v>
      </c>
      <c r="D104" s="2">
        <v>158</v>
      </c>
      <c r="E104" s="1">
        <v>10.692439929732227</v>
      </c>
      <c r="F104" s="1">
        <v>0.6405181760343821</v>
      </c>
      <c r="G104" s="1">
        <v>4.6698847511192678</v>
      </c>
      <c r="H104" s="1">
        <v>2.105883221219623</v>
      </c>
      <c r="I104" s="1" cm="1">
        <f t="array" ref="I104">_xll.Turner.GasVelocityWater($B$5,C104,D104+459.67)</f>
        <v>4.6988384904332543</v>
      </c>
      <c r="J104" s="1" cm="1">
        <f t="array" ref="J104">_xll.Turner.GasRateStd(I104, $D$3, C104, D104+459.67, $B$5)</f>
        <v>2.2491406755120056</v>
      </c>
      <c r="K104" s="1">
        <f t="shared" si="2"/>
        <v>0.44817101620052724</v>
      </c>
    </row>
    <row r="105" spans="1:11" x14ac:dyDescent="0.45">
      <c r="A105">
        <f t="shared" si="3"/>
        <v>82</v>
      </c>
      <c r="B105" s="2">
        <v>8100</v>
      </c>
      <c r="C105" s="2">
        <v>2873.5752144105618</v>
      </c>
      <c r="D105" s="2">
        <v>158.85000000000002</v>
      </c>
      <c r="E105" s="1">
        <v>10.758205431775991</v>
      </c>
      <c r="F105" s="1">
        <v>0.64145933198208493</v>
      </c>
      <c r="G105" s="1">
        <v>4.6698847511192678</v>
      </c>
      <c r="H105" s="1">
        <v>2.0930098411594149</v>
      </c>
      <c r="I105" s="1" cm="1">
        <f t="array" ref="I105">_xll.Turner.GasVelocityWater($B$5,C105,D105+459.67)</f>
        <v>4.683361006260796</v>
      </c>
      <c r="J105" s="1" cm="1">
        <f t="array" ref="J105">_xll.Turner.GasRateStd(I105, $D$3, C105, D105+459.67, $B$5)</f>
        <v>2.2552734970616473</v>
      </c>
      <c r="K105" s="1">
        <f t="shared" si="2"/>
        <v>0.44690337523873219</v>
      </c>
    </row>
    <row r="106" spans="1:11" x14ac:dyDescent="0.45">
      <c r="A106">
        <f t="shared" si="3"/>
        <v>83</v>
      </c>
      <c r="B106" s="2">
        <v>8200</v>
      </c>
      <c r="C106" s="2">
        <v>2901.4871239158515</v>
      </c>
      <c r="D106" s="2">
        <v>159.69999999999999</v>
      </c>
      <c r="E106" s="1">
        <v>10.823190721448032</v>
      </c>
      <c r="F106" s="1">
        <v>0.6423855978117029</v>
      </c>
      <c r="G106" s="1">
        <v>4.6698847511192678</v>
      </c>
      <c r="H106" s="1">
        <v>2.0804428584354913</v>
      </c>
      <c r="I106" s="1" cm="1">
        <f t="array" ref="I106">_xll.Turner.GasVelocityWater($B$5,C106,D106+459.67)</f>
        <v>4.6681984440943252</v>
      </c>
      <c r="J106" s="1" cm="1">
        <f t="array" ref="J106">_xll.Turner.GasRateStd(I106, $D$3, C106, D106+459.67, $B$5)</f>
        <v>2.2613091710667517</v>
      </c>
      <c r="K106" s="1">
        <f t="shared" si="2"/>
        <v>0.44566290044233903</v>
      </c>
    </row>
    <row r="107" spans="1:11" x14ac:dyDescent="0.45">
      <c r="A107">
        <f t="shared" si="3"/>
        <v>84</v>
      </c>
      <c r="B107" s="2">
        <v>8300</v>
      </c>
      <c r="C107" s="2">
        <v>2929.4365183653126</v>
      </c>
      <c r="D107" s="2">
        <v>160.55000000000001</v>
      </c>
      <c r="E107" s="1">
        <v>10.887404670678745</v>
      </c>
      <c r="F107" s="1">
        <v>0.64329731053746075</v>
      </c>
      <c r="G107" s="1">
        <v>4.6698847511192678</v>
      </c>
      <c r="H107" s="1">
        <v>2.0681723994849968</v>
      </c>
      <c r="I107" s="1" cm="1">
        <f t="array" ref="I107">_xll.Turner.GasVelocityWater($B$5,C107,D107+459.67)</f>
        <v>4.6533421313171948</v>
      </c>
      <c r="J107" s="1" cm="1">
        <f t="array" ref="J107">_xll.Turner.GasRateStd(I107, $D$3, C107, D107+459.67, $B$5)</f>
        <v>2.2672495921994509</v>
      </c>
      <c r="K107" s="1">
        <f t="shared" si="2"/>
        <v>0.44444881573742595</v>
      </c>
    </row>
    <row r="108" spans="1:11" x14ac:dyDescent="0.45">
      <c r="A108">
        <f t="shared" si="3"/>
        <v>85</v>
      </c>
      <c r="B108" s="2">
        <v>8400</v>
      </c>
      <c r="C108" s="2">
        <v>2957.4227856045864</v>
      </c>
      <c r="D108" s="2">
        <v>161.4</v>
      </c>
      <c r="E108" s="1">
        <v>10.950856262900222</v>
      </c>
      <c r="F108" s="1">
        <v>0.64419479929534373</v>
      </c>
      <c r="G108" s="1">
        <v>4.6698847511192678</v>
      </c>
      <c r="H108" s="1">
        <v>2.0561889683645997</v>
      </c>
      <c r="I108" s="1" cm="1">
        <f t="array" ref="I108">_xll.Turner.GasVelocityWater($B$5,C108,D108+459.67)</f>
        <v>4.6387836709711374</v>
      </c>
      <c r="J108" s="1" cm="1">
        <f t="array" ref="J108">_xll.Turner.GasRateStd(I108, $D$3, C108, D108+459.67, $B$5)</f>
        <v>2.2730966245711661</v>
      </c>
      <c r="K108" s="1">
        <f t="shared" si="2"/>
        <v>0.44326037043545363</v>
      </c>
    </row>
    <row r="109" spans="1:11" x14ac:dyDescent="0.45">
      <c r="A109">
        <f t="shared" si="3"/>
        <v>86</v>
      </c>
      <c r="B109" s="2">
        <v>8500</v>
      </c>
      <c r="C109" s="2">
        <v>2985.4453265864909</v>
      </c>
      <c r="D109" s="2">
        <v>162.25</v>
      </c>
      <c r="E109" s="1">
        <v>11.013554574643287</v>
      </c>
      <c r="F109" s="1">
        <v>0.6450783854602874</v>
      </c>
      <c r="G109" s="1">
        <v>4.6698847511192678</v>
      </c>
      <c r="H109" s="1">
        <v>2.0444834307865691</v>
      </c>
      <c r="I109" s="1" cm="1">
        <f t="array" ref="I109">_xll.Turner.GasVelocityWater($B$5,C109,D109+459.67)</f>
        <v>4.6245149333105813</v>
      </c>
      <c r="J109" s="1" cm="1">
        <f t="array" ref="J109">_xll.Turner.GasRateStd(I109, $D$3, C109, D109+459.67, $B$5)</f>
        <v>2.2788521011095075</v>
      </c>
      <c r="K109" s="1">
        <f t="shared" si="2"/>
        <v>0.44209683832136998</v>
      </c>
    </row>
    <row r="110" spans="1:11" x14ac:dyDescent="0.45">
      <c r="A110">
        <f t="shared" si="3"/>
        <v>87</v>
      </c>
      <c r="B110" s="2">
        <v>8600</v>
      </c>
      <c r="C110" s="2">
        <v>3013.503555097343</v>
      </c>
      <c r="D110" s="2">
        <v>163.10000000000002</v>
      </c>
      <c r="E110" s="1">
        <v>11.07550875563018</v>
      </c>
      <c r="F110" s="1">
        <v>0.64594838273767508</v>
      </c>
      <c r="G110" s="1">
        <v>4.6698847511192678</v>
      </c>
      <c r="H110" s="1">
        <v>2.0330469993511957</v>
      </c>
      <c r="I110" s="1" cm="1">
        <f t="array" ref="I110">_xll.Turner.GasVelocityWater($B$5,C110,D110+459.67)</f>
        <v>4.6105280462111438</v>
      </c>
      <c r="J110" s="1" cm="1">
        <f t="array" ref="J110">_xll.Turner.GasRateStd(I110, $D$3, C110, D110+459.67, $B$5)</f>
        <v>2.2845178235886818</v>
      </c>
      <c r="K110" s="1">
        <f t="shared" si="2"/>
        <v>0.44095751700760616</v>
      </c>
    </row>
    <row r="111" spans="1:11" x14ac:dyDescent="0.45">
      <c r="A111">
        <f t="shared" si="3"/>
        <v>88</v>
      </c>
      <c r="B111" s="2">
        <v>8700</v>
      </c>
      <c r="C111" s="2">
        <v>3041.5968974872062</v>
      </c>
      <c r="D111" s="2">
        <v>163.95</v>
      </c>
      <c r="E111" s="1">
        <v>11.136728016043351</v>
      </c>
      <c r="F111" s="1">
        <v>0.64680509733002611</v>
      </c>
      <c r="G111" s="1">
        <v>4.6698847511192678</v>
      </c>
      <c r="H111" s="1">
        <v>2.0218712183223144</v>
      </c>
      <c r="I111" s="1" cm="1">
        <f t="array" ref="I111">_xll.Turner.GasVelocityWater($B$5,C111,D111+459.67)</f>
        <v>4.5968153873300004</v>
      </c>
      <c r="J111" s="1" cm="1">
        <f t="array" ref="J111">_xll.Turner.GasRateStd(I111, $D$3, C111, D111+459.67, $B$5)</f>
        <v>2.2900955621409902</v>
      </c>
      <c r="K111" s="1">
        <f t="shared" si="2"/>
        <v>0.43984172692579931</v>
      </c>
    </row>
    <row r="112" spans="1:11" x14ac:dyDescent="0.45">
      <c r="A112">
        <f t="shared" si="3"/>
        <v>89</v>
      </c>
      <c r="B112" s="2">
        <v>8800</v>
      </c>
      <c r="C112" s="2">
        <v>3069.7247924010253</v>
      </c>
      <c r="D112" s="2">
        <v>164.8</v>
      </c>
      <c r="E112" s="1">
        <v>11.197221608418403</v>
      </c>
      <c r="F112" s="1">
        <v>0.64764882803236645</v>
      </c>
      <c r="G112" s="1">
        <v>4.6698847511192678</v>
      </c>
      <c r="H112" s="1">
        <v>2.0109479502480201</v>
      </c>
      <c r="I112" s="1" cm="1">
        <f t="array" ref="I112">_xll.Turner.GasVelocityWater($B$5,C112,D112+459.67)</f>
        <v>4.5833695756702326</v>
      </c>
      <c r="J112" s="1" cm="1">
        <f t="array" ref="J112">_xll.Turner.GasRateStd(I112, $D$3, C112, D112+459.67, $B$5)</f>
        <v>2.2955870551846571</v>
      </c>
      <c r="K112" s="1">
        <f t="shared" si="2"/>
        <v>0.43874881068344929</v>
      </c>
    </row>
    <row r="113" spans="1:11" x14ac:dyDescent="0.45">
      <c r="A113">
        <f t="shared" si="3"/>
        <v>90</v>
      </c>
      <c r="B113" s="2">
        <v>8900</v>
      </c>
      <c r="C113" s="2">
        <v>3097.8866905128675</v>
      </c>
      <c r="D113" s="2">
        <v>165.65</v>
      </c>
      <c r="E113" s="1">
        <v>11.256998814213279</v>
      </c>
      <c r="F113" s="1">
        <v>0.64847986637343535</v>
      </c>
      <c r="G113" s="1">
        <v>4.6698847511192678</v>
      </c>
      <c r="H113" s="1">
        <v>2.0002693625135182</v>
      </c>
      <c r="I113" s="1" cm="1">
        <f t="array" ref="I113">_xll.Turner.GasVelocityWater($B$5,C113,D113+459.67)</f>
        <v>4.5701834635694309</v>
      </c>
      <c r="J113" s="1" cm="1">
        <f t="array" ref="J113">_xll.Turner.GasRateStd(I113, $D$3, C113, D113+459.67, $B$5)</f>
        <v>2.3009940093510783</v>
      </c>
      <c r="K113" s="1">
        <f t="shared" si="2"/>
        <v>0.43767813228033003</v>
      </c>
    </row>
    <row r="114" spans="1:11" x14ac:dyDescent="0.45">
      <c r="A114">
        <f t="shared" si="3"/>
        <v>91</v>
      </c>
      <c r="B114" s="2">
        <v>9000</v>
      </c>
      <c r="C114" s="2">
        <v>3126.0820542631445</v>
      </c>
      <c r="D114" s="2">
        <v>166.5</v>
      </c>
      <c r="E114" s="1">
        <v>11.316068930606813</v>
      </c>
      <c r="F114" s="1">
        <v>0.64929849675070783</v>
      </c>
      <c r="G114" s="1">
        <v>4.6698847511192678</v>
      </c>
      <c r="H114" s="1">
        <v>1.9898279146232083</v>
      </c>
      <c r="I114" s="1" cm="1">
        <f t="array" ref="I114">_xll.Turner.GasVelocityWater($B$5,C114,D114+459.67)</f>
        <v>4.5572501289236529</v>
      </c>
      <c r="J114" s="1" cm="1">
        <f t="array" ref="J114">_xll.Turner.GasRateStd(I114, $D$3, C114, D114+459.67, $B$5)</f>
        <v>2.3063180994798236</v>
      </c>
      <c r="K114" s="1">
        <f t="shared" si="2"/>
        <v>0.43662907637970111</v>
      </c>
    </row>
    <row r="115" spans="1:11" x14ac:dyDescent="0.45">
      <c r="A115">
        <f t="shared" si="3"/>
        <v>92</v>
      </c>
      <c r="B115" s="2">
        <v>9100</v>
      </c>
      <c r="C115" s="2">
        <v>3154.3103575990776</v>
      </c>
      <c r="D115" s="2">
        <v>167.35000000000002</v>
      </c>
      <c r="E115" s="1">
        <v>11.374441258274766</v>
      </c>
      <c r="F115" s="1">
        <v>0.65010499656799847</v>
      </c>
      <c r="G115" s="1">
        <v>4.6698847511192678</v>
      </c>
      <c r="H115" s="1">
        <v>1.9796163460373022</v>
      </c>
      <c r="I115" s="1" cm="1">
        <f t="array" ref="I115">_xll.Turner.GasVelocityWater($B$5,C115,D115+459.67)</f>
        <v>4.544562867644272</v>
      </c>
      <c r="J115" s="1" cm="1">
        <f t="array" ref="J115">_xll.Turner.GasRateStd(I115, $D$3, C115, D115+459.67, $B$5)</f>
        <v>2.3115609686751992</v>
      </c>
      <c r="K115" s="1">
        <f t="shared" si="2"/>
        <v>0.43560104760162771</v>
      </c>
    </row>
    <row r="116" spans="1:11" x14ac:dyDescent="0.45">
      <c r="A116">
        <f t="shared" si="3"/>
        <v>93</v>
      </c>
      <c r="B116" s="2">
        <v>9200</v>
      </c>
      <c r="C116" s="2">
        <v>3182.5710857186368</v>
      </c>
      <c r="D116" s="2">
        <v>168.2</v>
      </c>
      <c r="E116" s="1">
        <v>11.432125090090954</v>
      </c>
      <c r="F116" s="1">
        <v>0.65089963637498971</v>
      </c>
      <c r="G116" s="1">
        <v>4.6698847511192678</v>
      </c>
      <c r="H116" s="1">
        <v>1.9696276645397242</v>
      </c>
      <c r="I116" s="1" cm="1">
        <f t="array" ref="I116">_xll.Turner.GasVelocityWater($B$5,C116,D116+459.67)</f>
        <v>4.5321151863447691</v>
      </c>
      <c r="J116" s="1" cm="1">
        <f t="array" ref="J116">_xll.Turner.GasRateStd(I116, $D$3, C116, D116+459.67, $B$5)</f>
        <v>2.3167242284185972</v>
      </c>
      <c r="K116" s="1">
        <f t="shared" si="2"/>
        <v>0.43459346983814495</v>
      </c>
    </row>
    <row r="117" spans="1:11" x14ac:dyDescent="0.45">
      <c r="A117">
        <f t="shared" si="3"/>
        <v>94</v>
      </c>
      <c r="B117" s="2">
        <v>9300</v>
      </c>
      <c r="C117" s="2">
        <v>3210.8637348181487</v>
      </c>
      <c r="D117" s="2">
        <v>169.05</v>
      </c>
      <c r="E117" s="1">
        <v>11.489129700702639</v>
      </c>
      <c r="F117" s="1">
        <v>0.65168268000816809</v>
      </c>
      <c r="G117" s="1">
        <v>4.6698847511192678</v>
      </c>
      <c r="H117" s="1">
        <v>1.9598551351147819</v>
      </c>
      <c r="I117" s="1" cm="1">
        <f t="array" ref="I117">_xll.Turner.GasVelocityWater($B$5,C117,D117+459.67)</f>
        <v>4.5199007952540748</v>
      </c>
      <c r="J117" s="1" cm="1">
        <f t="array" ref="J117">_xll.Turner.GasRateStd(I117, $D$3, C117, D117+459.67, $B$5)</f>
        <v>2.3218094587312144</v>
      </c>
      <c r="K117" s="1">
        <f t="shared" si="2"/>
        <v>0.43360578558994978</v>
      </c>
    </row>
    <row r="118" spans="1:11" x14ac:dyDescent="0.45">
      <c r="A118">
        <f t="shared" si="3"/>
        <v>95</v>
      </c>
      <c r="B118" s="2">
        <v>9400</v>
      </c>
      <c r="C118" s="2">
        <v>3239.1878118437503</v>
      </c>
      <c r="D118" s="2">
        <v>169.9</v>
      </c>
      <c r="E118" s="1">
        <v>11.545464336931225</v>
      </c>
      <c r="F118" s="1">
        <v>0.65245438473269257</v>
      </c>
      <c r="G118" s="1">
        <v>4.6698847511192678</v>
      </c>
      <c r="H118" s="1">
        <v>1.9502922693109135</v>
      </c>
      <c r="I118" s="1" cm="1">
        <f t="array" ref="I118">_xll.Turner.GasVelocityWater($B$5,C118,D118+459.67)</f>
        <v>4.5079136013527297</v>
      </c>
      <c r="J118" s="1" cm="1">
        <f t="array" ref="J118">_xll.Turner.GasRateStd(I118, $D$3, C118, D118+459.67, $B$5)</f>
        <v>2.3268182083821229</v>
      </c>
      <c r="K118" s="1">
        <f t="shared" si="2"/>
        <v>0.43263745532427061</v>
      </c>
    </row>
    <row r="119" spans="1:11" x14ac:dyDescent="0.45">
      <c r="A119">
        <f t="shared" si="3"/>
        <v>96</v>
      </c>
      <c r="B119" s="2">
        <v>9500</v>
      </c>
      <c r="C119" s="2">
        <v>3267.5428342468267</v>
      </c>
      <c r="D119" s="2">
        <v>170.75</v>
      </c>
      <c r="E119" s="1">
        <v>11.601138208950939</v>
      </c>
      <c r="F119" s="1">
        <v>0.653215001384711</v>
      </c>
      <c r="G119" s="1">
        <v>4.6698847511192678</v>
      </c>
      <c r="H119" s="1">
        <v>1.9409328150705636</v>
      </c>
      <c r="I119" s="1" cm="1">
        <f t="array" ref="I119">_xll.Turner.GasVelocityWater($B$5,C119,D119+459.67)</f>
        <v>4.4961477017277751</v>
      </c>
      <c r="J119" s="1" cm="1">
        <f t="array" ref="J119">_xll.Turner.GasRateStd(I119, $D$3, C119, D119+459.67, $B$5)</f>
        <v>2.3317519951369854</v>
      </c>
      <c r="K119" s="1">
        <f t="shared" si="2"/>
        <v>0.43168795685353128</v>
      </c>
    </row>
    <row r="120" spans="1:11" x14ac:dyDescent="0.45">
      <c r="A120">
        <f t="shared" si="3"/>
        <v>97</v>
      </c>
      <c r="B120" s="2">
        <v>9600</v>
      </c>
      <c r="C120" s="2">
        <v>3295.92832974356</v>
      </c>
      <c r="D120" s="2">
        <v>171.60000000000002</v>
      </c>
      <c r="E120" s="1">
        <v>11.656160482200027</v>
      </c>
      <c r="F120" s="1">
        <v>0.65396477451373436</v>
      </c>
      <c r="G120" s="1">
        <v>4.6698847511192678</v>
      </c>
      <c r="H120" s="1">
        <v>1.9317707470060392</v>
      </c>
      <c r="I120" s="1" cm="1">
        <f t="array" ref="I120">_xll.Turner.GasVelocityWater($B$5,C120,D120+459.67)</f>
        <v>4.4845973771420597</v>
      </c>
      <c r="J120" s="1" cm="1">
        <f t="array" ref="J120">_xll.Turner.GasRateStd(I120, $D$3, C120, D120+459.67, $B$5)</f>
        <v>2.3366123060430826</v>
      </c>
      <c r="K120" s="1">
        <f t="shared" si="2"/>
        <v>0.43075678473440049</v>
      </c>
    </row>
    <row r="121" spans="1:11" x14ac:dyDescent="0.45">
      <c r="A121">
        <f t="shared" si="3"/>
        <v>98</v>
      </c>
      <c r="B121" s="2">
        <v>9700</v>
      </c>
      <c r="C121" s="2">
        <v>3324.3438360786854</v>
      </c>
      <c r="D121" s="2">
        <v>172.45</v>
      </c>
      <c r="E121" s="1">
        <v>11.710540269981019</v>
      </c>
      <c r="F121" s="1">
        <v>0.65470394252472441</v>
      </c>
      <c r="G121" s="1">
        <v>4.6698847511192678</v>
      </c>
      <c r="H121" s="1">
        <v>1.9228002571019138</v>
      </c>
      <c r="I121" s="1" cm="1">
        <f t="array" ref="I121">_xll.Turner.GasVelocityWater($B$5,C121,D121+459.67)</f>
        <v>4.4732570858133807</v>
      </c>
      <c r="J121" s="1" cm="1">
        <f t="array" ref="J121">_xll.Turner.GasRateStd(I121, $D$3, C121, D121+459.67, $B$5)</f>
        <v>2.3414005977466084</v>
      </c>
      <c r="K121" s="1">
        <f t="shared" si="2"/>
        <v>0.42984344968679294</v>
      </c>
    </row>
    <row r="122" spans="1:11" x14ac:dyDescent="0.45">
      <c r="A122">
        <f t="shared" si="3"/>
        <v>99</v>
      </c>
      <c r="B122" s="2">
        <v>9800</v>
      </c>
      <c r="C122" s="2">
        <v>3352.7889007935387</v>
      </c>
      <c r="D122" s="2">
        <v>173.3</v>
      </c>
      <c r="E122" s="1">
        <v>11.764286626708278</v>
      </c>
      <c r="F122" s="1">
        <v>0.65543273781953293</v>
      </c>
      <c r="G122" s="1">
        <v>4.6698847511192678</v>
      </c>
      <c r="H122" s="1">
        <v>1.914015745825316</v>
      </c>
      <c r="I122" s="1" cm="1">
        <f t="array" ref="I122">_xll.Turner.GasVelocityWater($B$5,C122,D122+459.67)</f>
        <v>4.4621214573987285</v>
      </c>
      <c r="J122" s="1" cm="1">
        <f t="array" ref="J122">_xll.Turner.GasRateStd(I122, $D$3, C122, D122+459.67, $B$5)</f>
        <v>2.3461182968385064</v>
      </c>
      <c r="K122" s="1">
        <f t="shared" si="2"/>
        <v>0.42894747803237182</v>
      </c>
    </row>
    <row r="123" spans="1:11" x14ac:dyDescent="0.45">
      <c r="A123">
        <f t="shared" si="3"/>
        <v>100</v>
      </c>
      <c r="B123" s="2">
        <v>9900</v>
      </c>
      <c r="C123" s="2">
        <v>3381.2630809984521</v>
      </c>
      <c r="D123" s="2">
        <v>174.15</v>
      </c>
      <c r="E123" s="1">
        <v>11.817408541763108</v>
      </c>
      <c r="F123" s="1">
        <v>0.65615138693744557</v>
      </c>
      <c r="G123" s="1">
        <v>4.6698847511192678</v>
      </c>
      <c r="H123" s="1">
        <v>1.9054118136261355</v>
      </c>
      <c r="I123" s="1" cm="1">
        <f t="array" ref="I123">_xll.Turner.GasVelocityWater($B$5,C123,D123+459.67)</f>
        <v>4.4511852871787516</v>
      </c>
      <c r="J123" s="1" cm="1">
        <f t="array" ref="J123">_xll.Turner.GasRateStd(I123, $D$3, C123, D123+459.67, $B$5)</f>
        <v>2.3507668002253972</v>
      </c>
      <c r="K123" s="1">
        <f t="shared" si="2"/>
        <v>0.42806841115208277</v>
      </c>
    </row>
    <row r="124" spans="1:11" x14ac:dyDescent="0.45">
      <c r="A124">
        <f>A123+1</f>
        <v>101</v>
      </c>
      <c r="B124" s="2">
        <v>10000</v>
      </c>
      <c r="C124" s="2">
        <v>3409.7659431495499</v>
      </c>
      <c r="D124" s="2">
        <v>175</v>
      </c>
      <c r="E124" s="1">
        <v>11.869914933918484</v>
      </c>
      <c r="F124" s="1">
        <v>0.65686011069453543</v>
      </c>
      <c r="G124" s="1">
        <v>4.6698847511192678</v>
      </c>
      <c r="H124" s="1">
        <v>1.896983252809928</v>
      </c>
      <c r="I124" s="1" cm="1">
        <f t="array" ref="I124">_xll.Turner.GasVelocityWater($B$5,C124,D124+459.67)</f>
        <v>4.4404435304374346</v>
      </c>
      <c r="J124" s="1" cm="1">
        <f t="array" ref="J124">_xll.Turner.GasRateStd(I124, $D$3, C124, D124+459.67, $B$5)</f>
        <v>2.3553474755224104</v>
      </c>
      <c r="K124" s="1">
        <f t="shared" si="2"/>
        <v>0.42720580496224742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15E3F-53F2-44C6-B026-38876EF4F633}">
  <sheetPr codeName="Sheet2"/>
  <dimension ref="B1:G49"/>
  <sheetViews>
    <sheetView workbookViewId="0">
      <selection activeCell="D40" sqref="D40:D49"/>
    </sheetView>
  </sheetViews>
  <sheetFormatPr defaultRowHeight="17.5" x14ac:dyDescent="0.45"/>
  <sheetData>
    <row r="1" spans="2:7" x14ac:dyDescent="0.45">
      <c r="D1" t="s">
        <v>44</v>
      </c>
      <c r="E1">
        <v>4200</v>
      </c>
      <c r="F1" t="s">
        <v>46</v>
      </c>
      <c r="G1">
        <v>0.7</v>
      </c>
    </row>
    <row r="2" spans="2:7" x14ac:dyDescent="0.45">
      <c r="D2" t="s">
        <v>45</v>
      </c>
      <c r="E2">
        <f>175+459.67</f>
        <v>634.67000000000007</v>
      </c>
    </row>
    <row r="4" spans="2:7" x14ac:dyDescent="0.45">
      <c r="B4" t="s">
        <v>42</v>
      </c>
      <c r="C4" t="s">
        <v>43</v>
      </c>
      <c r="D4" t="s">
        <v>47</v>
      </c>
      <c r="E4" t="s">
        <v>43</v>
      </c>
      <c r="F4" t="s">
        <v>48</v>
      </c>
    </row>
    <row r="5" spans="2:7" x14ac:dyDescent="0.45">
      <c r="B5">
        <v>50000</v>
      </c>
      <c r="C5" s="8">
        <v>0</v>
      </c>
      <c r="D5">
        <v>1000000</v>
      </c>
      <c r="E5" s="9" cm="1">
        <f t="array" ref="E5">_xll.Gas.VoidFraction($G$1, $E$1, $E$2, D5, B5)</f>
        <v>1.381909191351703E-2</v>
      </c>
      <c r="F5" s="7">
        <f>D5/B5</f>
        <v>20</v>
      </c>
    </row>
    <row r="6" spans="2:7" x14ac:dyDescent="0.45">
      <c r="B6">
        <f t="shared" ref="B6:B14" si="0">B5-5000</f>
        <v>45000</v>
      </c>
      <c r="C6" s="8">
        <f>C5+0.05</f>
        <v>0.05</v>
      </c>
      <c r="D6">
        <v>3380383.6909760544</v>
      </c>
      <c r="E6" s="9" cm="1">
        <f t="array" ref="E6">_xll.Gas.VoidFraction($G$1, $E$1, $E$2, D6, B6)</f>
        <v>5.0000000447654035E-2</v>
      </c>
      <c r="F6" s="7">
        <f t="shared" ref="F6:F14" si="1">D6/B6</f>
        <v>75.119637577245655</v>
      </c>
    </row>
    <row r="7" spans="2:7" x14ac:dyDescent="0.45">
      <c r="B7">
        <f t="shared" si="0"/>
        <v>40000</v>
      </c>
      <c r="C7" s="8">
        <f t="shared" ref="C7:C14" si="2">C6+0.05</f>
        <v>0.1</v>
      </c>
      <c r="D7">
        <v>6343436.0068696318</v>
      </c>
      <c r="E7" s="9" cm="1">
        <f t="array" ref="E7">_xll.Gas.VoidFraction($G$1, $E$1, $E$2, D7, B7)</f>
        <v>0.10000000006488868</v>
      </c>
      <c r="F7" s="7">
        <f t="shared" si="1"/>
        <v>158.5859001717408</v>
      </c>
    </row>
    <row r="8" spans="2:7" x14ac:dyDescent="0.45">
      <c r="B8">
        <f t="shared" si="0"/>
        <v>35000</v>
      </c>
      <c r="C8" s="8">
        <f t="shared" si="2"/>
        <v>0.15000000000000002</v>
      </c>
      <c r="D8">
        <v>8812422.436802078</v>
      </c>
      <c r="E8" s="9" cm="1">
        <f t="array" ref="E8">_xll.Gas.VoidFraction($G$1, $E$1, $E$2, D8, B8)</f>
        <v>0.14995533705513092</v>
      </c>
      <c r="F8" s="7">
        <f t="shared" si="1"/>
        <v>251.7834981943451</v>
      </c>
    </row>
    <row r="9" spans="2:7" x14ac:dyDescent="0.45">
      <c r="B9">
        <f t="shared" si="0"/>
        <v>30000</v>
      </c>
      <c r="C9" s="8">
        <f t="shared" si="2"/>
        <v>0.2</v>
      </c>
      <c r="D9">
        <v>10704548.295616833</v>
      </c>
      <c r="E9" s="9" cm="1">
        <f t="array" ref="E9">_xll.Gas.VoidFraction($G$1, $E$1, $E$2, D9, B9)</f>
        <v>0.20000000062391649</v>
      </c>
      <c r="F9" s="7">
        <f t="shared" si="1"/>
        <v>356.81827652056114</v>
      </c>
    </row>
    <row r="10" spans="2:7" x14ac:dyDescent="0.45">
      <c r="B10">
        <f t="shared" si="0"/>
        <v>25000</v>
      </c>
      <c r="C10" s="8">
        <v>0.25</v>
      </c>
      <c r="D10">
        <v>11866883.787111493</v>
      </c>
      <c r="E10" s="9" cm="1">
        <f t="array" ref="E10">_xll.Gas.VoidFraction($G$1, $E$1, $E$2, D10, B10)</f>
        <v>0.24957319478613779</v>
      </c>
      <c r="F10" s="7">
        <f t="shared" si="1"/>
        <v>474.67535148445972</v>
      </c>
    </row>
    <row r="11" spans="2:7" x14ac:dyDescent="0.45">
      <c r="B11">
        <f t="shared" si="0"/>
        <v>20000</v>
      </c>
      <c r="C11" s="8">
        <v>0.3</v>
      </c>
      <c r="D11">
        <v>12221503.169596095</v>
      </c>
      <c r="E11" s="9" cm="1">
        <f t="array" ref="E11">_xll.Gas.VoidFraction($G$1, $E$1, $E$2, D11, B11)</f>
        <v>0.29978937886731127</v>
      </c>
      <c r="F11" s="7">
        <f t="shared" si="1"/>
        <v>611.07515847980471</v>
      </c>
    </row>
    <row r="12" spans="2:7" x14ac:dyDescent="0.45">
      <c r="B12">
        <f t="shared" si="0"/>
        <v>15000</v>
      </c>
      <c r="C12" s="8">
        <f t="shared" si="2"/>
        <v>0.35</v>
      </c>
      <c r="D12">
        <v>11510065.511940602</v>
      </c>
      <c r="E12" s="9" cm="1">
        <f t="array" ref="E12">_xll.Gas.VoidFraction($G$1, $E$1, $E$2, D12, B12)</f>
        <v>0.34964637025256229</v>
      </c>
      <c r="F12" s="7">
        <f t="shared" si="1"/>
        <v>767.33770079604017</v>
      </c>
    </row>
    <row r="13" spans="2:7" x14ac:dyDescent="0.45">
      <c r="B13">
        <f t="shared" si="0"/>
        <v>10000</v>
      </c>
      <c r="C13" s="8">
        <f t="shared" si="2"/>
        <v>0.39999999999999997</v>
      </c>
      <c r="D13">
        <v>9527047.98309898</v>
      </c>
      <c r="E13" s="9" cm="1">
        <f t="array" ref="E13">_xll.Gas.VoidFraction($G$1, $E$1, $E$2, D13, B13)</f>
        <v>0.40029985101107074</v>
      </c>
      <c r="F13" s="7">
        <f t="shared" si="1"/>
        <v>952.70479830989802</v>
      </c>
    </row>
    <row r="14" spans="2:7" x14ac:dyDescent="0.45">
      <c r="B14">
        <f t="shared" si="0"/>
        <v>5000</v>
      </c>
      <c r="C14" s="8">
        <f t="shared" si="2"/>
        <v>0.44999999999999996</v>
      </c>
      <c r="D14">
        <v>5840622.3333746726</v>
      </c>
      <c r="E14" s="9" cm="1">
        <f t="array" ref="E14">_xll.Gas.VoidFraction($G$1, $E$1, $E$2, D14, B14)</f>
        <v>0.45007534931881166</v>
      </c>
      <c r="F14" s="7">
        <f t="shared" si="1"/>
        <v>1168.1244666749344</v>
      </c>
    </row>
    <row r="18" spans="3:5" x14ac:dyDescent="0.45">
      <c r="C18" t="s">
        <v>48</v>
      </c>
      <c r="D18" t="s">
        <v>42</v>
      </c>
      <c r="E18" t="s">
        <v>43</v>
      </c>
    </row>
    <row r="19" spans="3:5" x14ac:dyDescent="0.45">
      <c r="C19" s="7">
        <v>20</v>
      </c>
      <c r="D19">
        <v>50000</v>
      </c>
      <c r="E19" s="10">
        <v>0</v>
      </c>
    </row>
    <row r="20" spans="3:5" x14ac:dyDescent="0.45">
      <c r="C20" s="7">
        <v>75.119637577245655</v>
      </c>
      <c r="D20">
        <v>45000</v>
      </c>
      <c r="E20" s="10">
        <v>0.05</v>
      </c>
    </row>
    <row r="21" spans="3:5" x14ac:dyDescent="0.45">
      <c r="C21" s="7">
        <v>158.5859001717408</v>
      </c>
      <c r="D21">
        <v>40000</v>
      </c>
      <c r="E21" s="10">
        <v>0.1</v>
      </c>
    </row>
    <row r="22" spans="3:5" x14ac:dyDescent="0.45">
      <c r="C22" s="7">
        <v>251.7834981943451</v>
      </c>
      <c r="D22">
        <v>35000</v>
      </c>
      <c r="E22" s="10">
        <v>0.15000000000000002</v>
      </c>
    </row>
    <row r="23" spans="3:5" x14ac:dyDescent="0.45">
      <c r="C23" s="7">
        <v>356.81827652056114</v>
      </c>
      <c r="D23">
        <v>30000</v>
      </c>
      <c r="E23" s="10">
        <v>0.2</v>
      </c>
    </row>
    <row r="24" spans="3:5" x14ac:dyDescent="0.45">
      <c r="C24" s="7">
        <v>474.67535148445972</v>
      </c>
      <c r="D24">
        <v>25000</v>
      </c>
      <c r="E24" s="10">
        <v>0.25</v>
      </c>
    </row>
    <row r="25" spans="3:5" x14ac:dyDescent="0.45">
      <c r="C25" s="7">
        <v>611.07515847980471</v>
      </c>
      <c r="D25">
        <v>20000</v>
      </c>
      <c r="E25" s="10">
        <v>0.3</v>
      </c>
    </row>
    <row r="26" spans="3:5" x14ac:dyDescent="0.45">
      <c r="C26" s="7">
        <v>767.33770079604017</v>
      </c>
      <c r="D26">
        <v>15000</v>
      </c>
      <c r="E26" s="10">
        <v>0.35</v>
      </c>
    </row>
    <row r="27" spans="3:5" x14ac:dyDescent="0.45">
      <c r="C27" s="7">
        <v>952.70479830989802</v>
      </c>
      <c r="D27">
        <v>10000</v>
      </c>
      <c r="E27" s="10">
        <v>0.39999999999999997</v>
      </c>
    </row>
    <row r="28" spans="3:5" x14ac:dyDescent="0.45">
      <c r="C28" s="7">
        <v>1168.1244666749344</v>
      </c>
      <c r="D28">
        <v>5000</v>
      </c>
      <c r="E28" s="10">
        <v>0.44999999999999996</v>
      </c>
    </row>
    <row r="29" spans="3:5" x14ac:dyDescent="0.45">
      <c r="C29" s="7"/>
    </row>
    <row r="30" spans="3:5" x14ac:dyDescent="0.45">
      <c r="C30" t="str">
        <f>"text("&amp;ROUND(C19,0)&amp;", "&amp;D19&amp;", labels = """&amp;E19*100&amp;"%"", col = ESPAnnotationColor, cex = ESP_Eff_cex, font = 2, srt = 0, adj = 0)"</f>
        <v>text(20, 50000, labels = "0%", col = ESPAnnotationColor, cex = ESP_Eff_cex, font = 2, srt = 0, adj = 0)</v>
      </c>
      <c r="D30" t="str">
        <f>"lines(c("&amp;ROUND(C19,0)&amp;","&amp;ROUND(C19,0)&amp;"), c("&amp;D19&amp;",100000), col = ESPAnnotationColor, lwd = 2)"</f>
        <v>lines(c(20,20), c(50000,100000), col = ESPAnnotationColor, lwd = 2)</v>
      </c>
    </row>
    <row r="31" spans="3:5" x14ac:dyDescent="0.45">
      <c r="C31" t="str">
        <f t="shared" ref="C31:C39" si="3">"text("&amp;ROUND(C20,0)&amp;", "&amp;D20&amp;", labels = """&amp;E20*100&amp;"%"", col = ESPAnnotationColor, cex = ESP_Eff_cex, font = 2, srt = 0, adj = 0)"</f>
        <v>text(75, 45000, labels = "5%", col = ESPAnnotationColor, cex = ESP_Eff_cex, font = 2, srt = 0, adj = 0)</v>
      </c>
      <c r="D31" t="str">
        <f t="shared" ref="D31:D39" si="4">"lines(c("&amp;ROUND(C20,0)&amp;","&amp;ROUND(C20,0)&amp;"), c("&amp;D20&amp;",100000), col = ESPAnnotationColor, lwd = 2)"</f>
        <v>lines(c(75,75), c(45000,100000), col = ESPAnnotationColor, lwd = 2)</v>
      </c>
    </row>
    <row r="32" spans="3:5" x14ac:dyDescent="0.45">
      <c r="C32" t="str">
        <f t="shared" si="3"/>
        <v>text(159, 40000, labels = "10%", col = ESPAnnotationColor, cex = ESP_Eff_cex, font = 2, srt = 0, adj = 0)</v>
      </c>
      <c r="D32" t="str">
        <f t="shared" si="4"/>
        <v>lines(c(159,159), c(40000,100000), col = ESPAnnotationColor, lwd = 2)</v>
      </c>
    </row>
    <row r="33" spans="3:4" x14ac:dyDescent="0.45">
      <c r="C33" t="str">
        <f t="shared" si="3"/>
        <v>text(252, 35000, labels = "15%", col = ESPAnnotationColor, cex = ESP_Eff_cex, font = 2, srt = 0, adj = 0)</v>
      </c>
      <c r="D33" t="str">
        <f t="shared" si="4"/>
        <v>lines(c(252,252), c(35000,100000), col = ESPAnnotationColor, lwd = 2)</v>
      </c>
    </row>
    <row r="34" spans="3:4" x14ac:dyDescent="0.45">
      <c r="C34" t="str">
        <f t="shared" si="3"/>
        <v>text(357, 30000, labels = "20%", col = ESPAnnotationColor, cex = ESP_Eff_cex, font = 2, srt = 0, adj = 0)</v>
      </c>
      <c r="D34" t="str">
        <f t="shared" si="4"/>
        <v>lines(c(357,357), c(30000,100000), col = ESPAnnotationColor, lwd = 2)</v>
      </c>
    </row>
    <row r="35" spans="3:4" x14ac:dyDescent="0.45">
      <c r="C35" t="str">
        <f t="shared" si="3"/>
        <v>text(475, 25000, labels = "25%", col = ESPAnnotationColor, cex = ESP_Eff_cex, font = 2, srt = 0, adj = 0)</v>
      </c>
      <c r="D35" t="str">
        <f t="shared" si="4"/>
        <v>lines(c(475,475), c(25000,100000), col = ESPAnnotationColor, lwd = 2)</v>
      </c>
    </row>
    <row r="36" spans="3:4" x14ac:dyDescent="0.45">
      <c r="C36" t="str">
        <f t="shared" si="3"/>
        <v>text(611, 20000, labels = "30%", col = ESPAnnotationColor, cex = ESP_Eff_cex, font = 2, srt = 0, adj = 0)</v>
      </c>
      <c r="D36" t="str">
        <f t="shared" si="4"/>
        <v>lines(c(611,611), c(20000,100000), col = ESPAnnotationColor, lwd = 2)</v>
      </c>
    </row>
    <row r="37" spans="3:4" x14ac:dyDescent="0.45">
      <c r="C37" t="str">
        <f t="shared" si="3"/>
        <v>text(767, 15000, labels = "35%", col = ESPAnnotationColor, cex = ESP_Eff_cex, font = 2, srt = 0, adj = 0)</v>
      </c>
      <c r="D37" t="str">
        <f t="shared" si="4"/>
        <v>lines(c(767,767), c(15000,100000), col = ESPAnnotationColor, lwd = 2)</v>
      </c>
    </row>
    <row r="38" spans="3:4" x14ac:dyDescent="0.45">
      <c r="C38" t="str">
        <f t="shared" si="3"/>
        <v>text(953, 10000, labels = "40%", col = ESPAnnotationColor, cex = ESP_Eff_cex, font = 2, srt = 0, adj = 0)</v>
      </c>
      <c r="D38" t="str">
        <f t="shared" si="4"/>
        <v>lines(c(953,953), c(10000,100000), col = ESPAnnotationColor, lwd = 2)</v>
      </c>
    </row>
    <row r="39" spans="3:4" x14ac:dyDescent="0.45">
      <c r="C39" t="str">
        <f t="shared" si="3"/>
        <v>text(1168, 5000, labels = "45%", col = ESPAnnotationColor, cex = ESP_Eff_cex, font = 2, srt = 0, adj = 0)</v>
      </c>
      <c r="D39" t="str">
        <f t="shared" si="4"/>
        <v>lines(c(1168,1168), c(5000,100000), col = ESPAnnotationColor, lwd = 2)</v>
      </c>
    </row>
    <row r="40" spans="3:4" x14ac:dyDescent="0.45">
      <c r="D40" t="str">
        <f>"lines(c(1,"&amp;ROUND(C19,0)&amp;"), c("&amp;D19&amp;","&amp;D19&amp;"), col = ESPAnnotationColor, lwd = 2, lty = 3)"</f>
        <v>lines(c(1,20), c(50000,50000), col = ESPAnnotationColor, lwd = 2, lty = 3)</v>
      </c>
    </row>
    <row r="41" spans="3:4" x14ac:dyDescent="0.45">
      <c r="D41" t="str">
        <f t="shared" ref="D41:D49" si="5">"lines(c(1,"&amp;ROUND(C20,0)&amp;"), c("&amp;D20&amp;","&amp;D20&amp;"), col = ESPAnnotationColor, lwd = 2, lty = 3)"</f>
        <v>lines(c(1,75), c(45000,45000), col = ESPAnnotationColor, lwd = 2, lty = 3)</v>
      </c>
    </row>
    <row r="42" spans="3:4" x14ac:dyDescent="0.45">
      <c r="D42" t="str">
        <f t="shared" si="5"/>
        <v>lines(c(1,159), c(40000,40000), col = ESPAnnotationColor, lwd = 2, lty = 3)</v>
      </c>
    </row>
    <row r="43" spans="3:4" x14ac:dyDescent="0.45">
      <c r="D43" t="str">
        <f t="shared" si="5"/>
        <v>lines(c(1,252), c(35000,35000), col = ESPAnnotationColor, lwd = 2, lty = 3)</v>
      </c>
    </row>
    <row r="44" spans="3:4" x14ac:dyDescent="0.45">
      <c r="D44" t="str">
        <f t="shared" si="5"/>
        <v>lines(c(1,357), c(30000,30000), col = ESPAnnotationColor, lwd = 2, lty = 3)</v>
      </c>
    </row>
    <row r="45" spans="3:4" x14ac:dyDescent="0.45">
      <c r="D45" t="str">
        <f t="shared" si="5"/>
        <v>lines(c(1,475), c(25000,25000), col = ESPAnnotationColor, lwd = 2, lty = 3)</v>
      </c>
    </row>
    <row r="46" spans="3:4" x14ac:dyDescent="0.45">
      <c r="D46" t="str">
        <f t="shared" si="5"/>
        <v>lines(c(1,611), c(20000,20000), col = ESPAnnotationColor, lwd = 2, lty = 3)</v>
      </c>
    </row>
    <row r="47" spans="3:4" x14ac:dyDescent="0.45">
      <c r="D47" t="str">
        <f t="shared" si="5"/>
        <v>lines(c(1,767), c(15000,15000), col = ESPAnnotationColor, lwd = 2, lty = 3)</v>
      </c>
    </row>
    <row r="48" spans="3:4" x14ac:dyDescent="0.45">
      <c r="D48" t="str">
        <f t="shared" si="5"/>
        <v>lines(c(1,953), c(10000,10000), col = ESPAnnotationColor, lwd = 2, lty = 3)</v>
      </c>
    </row>
    <row r="49" spans="4:4" x14ac:dyDescent="0.45">
      <c r="D49" t="str">
        <f t="shared" si="5"/>
        <v>lines(c(1,1168), c(5000,5000), col = ESPAnnotationColor, lwd = 2, lty = 3)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0BD32-710F-413B-B834-FFAD0BB2E854}">
  <sheetPr codeName="Sheet3"/>
  <dimension ref="A1:O11"/>
  <sheetViews>
    <sheetView workbookViewId="0">
      <selection activeCell="D8" sqref="D8"/>
    </sheetView>
  </sheetViews>
  <sheetFormatPr defaultRowHeight="17.5" x14ac:dyDescent="0.45"/>
  <cols>
    <col min="4" max="13" width="10" customWidth="1"/>
    <col min="14" max="14" width="9.78515625" bestFit="1" customWidth="1"/>
  </cols>
  <sheetData>
    <row r="1" spans="1:15" x14ac:dyDescent="0.45">
      <c r="B1" t="s">
        <v>53</v>
      </c>
      <c r="C1">
        <f>155+459.67</f>
        <v>614.67000000000007</v>
      </c>
      <c r="D1" t="s">
        <v>52</v>
      </c>
      <c r="F1" t="s">
        <v>59</v>
      </c>
      <c r="G1" s="12" cm="1">
        <f t="array" ref="G1">_xll.Gas.ReynoldsNumber($C$2, 1000000, I4, 0.001)</f>
        <v>5921263.1578947371</v>
      </c>
    </row>
    <row r="2" spans="1:15" x14ac:dyDescent="0.45">
      <c r="B2" t="s">
        <v>51</v>
      </c>
      <c r="C2">
        <v>0.7</v>
      </c>
      <c r="F2" t="s">
        <v>60</v>
      </c>
      <c r="G2" s="14" cm="1">
        <f t="array" ref="G2">_xll.FrictionFactor(G1, 0.0006)</f>
        <v>4.3701234736755823E-3</v>
      </c>
    </row>
    <row r="4" spans="1:15" x14ac:dyDescent="0.45">
      <c r="D4" t="s">
        <v>54</v>
      </c>
      <c r="E4" s="11">
        <v>1.25</v>
      </c>
      <c r="F4" s="11">
        <v>1.5</v>
      </c>
      <c r="G4" s="11">
        <v>1.75</v>
      </c>
      <c r="H4" s="11">
        <v>1.9</v>
      </c>
      <c r="I4" s="11">
        <f>2+(3/8)</f>
        <v>2.375</v>
      </c>
      <c r="J4" s="11">
        <f>2+(7/8)</f>
        <v>2.875</v>
      </c>
      <c r="K4" s="11">
        <v>3.5</v>
      </c>
      <c r="L4" s="11">
        <v>4.5</v>
      </c>
      <c r="M4" s="11">
        <v>5.5</v>
      </c>
      <c r="N4" s="11">
        <v>7</v>
      </c>
    </row>
    <row r="5" spans="1:15" x14ac:dyDescent="0.45">
      <c r="D5" t="s">
        <v>55</v>
      </c>
      <c r="E5" s="3">
        <f t="shared" ref="E5:N5" si="0">(PI()/4)*(E$4/12)^2</f>
        <v>8.5221154882535628E-3</v>
      </c>
      <c r="F5" s="3">
        <f t="shared" si="0"/>
        <v>1.2271846303085129E-2</v>
      </c>
      <c r="G5" s="3">
        <f t="shared" si="0"/>
        <v>1.6703346356976984E-2</v>
      </c>
      <c r="H5" s="3">
        <f t="shared" si="0"/>
        <v>1.968949562406103E-2</v>
      </c>
      <c r="I5" s="3">
        <f t="shared" si="0"/>
        <v>3.0764836912595357E-2</v>
      </c>
      <c r="J5" s="3">
        <f t="shared" si="0"/>
        <v>4.5081990932861346E-2</v>
      </c>
      <c r="K5" s="3">
        <f t="shared" si="0"/>
        <v>6.6813385427907934E-2</v>
      </c>
      <c r="L5" s="3">
        <f t="shared" si="0"/>
        <v>0.11044661672776616</v>
      </c>
      <c r="M5" s="3">
        <f t="shared" si="0"/>
        <v>0.16498815585258894</v>
      </c>
      <c r="N5" s="3">
        <f t="shared" si="0"/>
        <v>0.26725354171163174</v>
      </c>
    </row>
    <row r="6" spans="1:15" x14ac:dyDescent="0.45">
      <c r="A6" t="s">
        <v>56</v>
      </c>
      <c r="F6" s="3"/>
      <c r="G6" s="3"/>
      <c r="H6" s="3"/>
      <c r="I6" s="3"/>
      <c r="J6" s="3"/>
      <c r="K6" s="3"/>
      <c r="L6" s="3"/>
      <c r="M6" s="3"/>
      <c r="N6" s="3"/>
    </row>
    <row r="7" spans="1:15" x14ac:dyDescent="0.45">
      <c r="A7" t="s">
        <v>57</v>
      </c>
      <c r="C7" t="s">
        <v>49</v>
      </c>
      <c r="D7" t="s">
        <v>50</v>
      </c>
      <c r="E7" t="str">
        <f t="shared" ref="E7:N7" si="1">$A$6&amp;" "&amp;E$4</f>
        <v>qg[scf] 1.25</v>
      </c>
      <c r="F7" t="str">
        <f t="shared" si="1"/>
        <v>qg[scf] 1.5</v>
      </c>
      <c r="G7" t="str">
        <f t="shared" si="1"/>
        <v>qg[scf] 1.75</v>
      </c>
      <c r="H7" t="str">
        <f t="shared" si="1"/>
        <v>qg[scf] 1.9</v>
      </c>
      <c r="I7" t="str">
        <f t="shared" si="1"/>
        <v>qg[scf] 2.375</v>
      </c>
      <c r="J7" t="str">
        <f t="shared" si="1"/>
        <v>qg[scf] 2.875</v>
      </c>
      <c r="K7" t="str">
        <f t="shared" si="1"/>
        <v>qg[scf] 3.5</v>
      </c>
      <c r="L7" t="str">
        <f t="shared" si="1"/>
        <v>qg[scf] 4.5</v>
      </c>
      <c r="M7" t="str">
        <f t="shared" si="1"/>
        <v>qg[scf] 5.5</v>
      </c>
      <c r="N7" t="str">
        <f t="shared" si="1"/>
        <v>qg[scf] 7</v>
      </c>
      <c r="O7" t="s">
        <v>58</v>
      </c>
    </row>
    <row r="8" spans="1:15" x14ac:dyDescent="0.45">
      <c r="A8">
        <v>10</v>
      </c>
      <c r="B8" t="str">
        <f>A8&amp;" "&amp;$A$7</f>
        <v>10 psig</v>
      </c>
      <c r="C8" s="1">
        <f>14.7+A8</f>
        <v>24.7</v>
      </c>
      <c r="D8" s="1" t="e" cm="1">
        <f t="array" ref="D8">_xll.Turner.GasVelocityWater(C8)</f>
        <v>#VALUE!</v>
      </c>
      <c r="E8" s="13" t="e" cm="1">
        <f t="array" ref="E8">_xll.Turner.GasRateStd($D8, E$5, $C8, $C$1, $C$2)*1000</f>
        <v>#VALUE!</v>
      </c>
      <c r="F8" s="13" t="e" cm="1">
        <f t="array" ref="F8">_xll.Turner.GasRateStd($D8, F$5, $C8, $C$1, $C$2)*1000</f>
        <v>#VALUE!</v>
      </c>
      <c r="G8" s="13" t="e" cm="1">
        <f t="array" ref="G8">_xll.Turner.GasRateStd($D8, G$5, $C8, $C$1, $C$2)*1000</f>
        <v>#VALUE!</v>
      </c>
      <c r="H8" s="13" t="e" cm="1">
        <f t="array" ref="H8">_xll.Turner.GasRateStd($D8, H$5, $C8, $C$1, $C$2)*1000</f>
        <v>#VALUE!</v>
      </c>
      <c r="I8" s="13" t="e" cm="1">
        <f t="array" ref="I8">_xll.Turner.GasRateStd($D8, I$5, $C8, $C$1, $C$2)*1000</f>
        <v>#VALUE!</v>
      </c>
      <c r="J8" s="13" t="e" cm="1">
        <f t="array" ref="J8">_xll.Turner.GasRateStd($D8, J$5, $C8, $C$1, $C$2)*1000</f>
        <v>#VALUE!</v>
      </c>
      <c r="K8" s="13" t="e" cm="1">
        <f t="array" ref="K8">_xll.Turner.GasRateStd($D8, K$5, $C8, $C$1, $C$2)*1000</f>
        <v>#VALUE!</v>
      </c>
      <c r="L8" s="13" t="e" cm="1">
        <f t="array" ref="L8">_xll.Turner.GasRateStd($D8, L$5, $C8, $C$1, $C$2)*1000</f>
        <v>#VALUE!</v>
      </c>
      <c r="M8" s="13" t="e" cm="1">
        <f t="array" ref="M8">_xll.Turner.GasRateStd($D8, M$5, $C8, $C$1, $C$2)*1000</f>
        <v>#VALUE!</v>
      </c>
      <c r="N8" s="13" t="e" cm="1">
        <f t="array" ref="N8">_xll.Turner.GasRateStd($D8, N$5, $C8, $C$1, $C$2)*1000</f>
        <v>#VALUE!</v>
      </c>
      <c r="O8" s="1" cm="1">
        <f t="array" ref="O8">_xll.GasZKatz(C8, $C$1, $C$2)</f>
        <v>0.99684878709491187</v>
      </c>
    </row>
    <row r="9" spans="1:15" x14ac:dyDescent="0.45">
      <c r="A9">
        <v>30</v>
      </c>
      <c r="B9" t="str">
        <f t="shared" ref="B9:B11" si="2">A9&amp;" "&amp;$A$7</f>
        <v>30 psig</v>
      </c>
      <c r="C9" s="1">
        <f>14.7+A9</f>
        <v>44.7</v>
      </c>
      <c r="D9" s="1" t="e" cm="1">
        <f t="array" ref="D9">_xll.Turner.GasVelocityWater(C9)</f>
        <v>#VALUE!</v>
      </c>
      <c r="E9" s="13" t="e" cm="1">
        <f t="array" ref="E9">_xll.Turner.GasRateStd($D9, E$5, $C9, $C$1, $C$2)*1000</f>
        <v>#VALUE!</v>
      </c>
      <c r="F9" s="13" t="e" cm="1">
        <f t="array" ref="F9">_xll.Turner.GasRateStd($D9, F$5, $C9, $C$1, $C$2)*1000</f>
        <v>#VALUE!</v>
      </c>
      <c r="G9" s="13" t="e" cm="1">
        <f t="array" ref="G9">_xll.Turner.GasRateStd($D9, G$5, $C9, $C$1, $C$2)*1000</f>
        <v>#VALUE!</v>
      </c>
      <c r="H9" s="13" t="e" cm="1">
        <f t="array" ref="H9">_xll.Turner.GasRateStd($D9, H$5, $C9, $C$1, $C$2)*1000</f>
        <v>#VALUE!</v>
      </c>
      <c r="I9" s="13" t="e" cm="1">
        <f t="array" ref="I9">_xll.Turner.GasRateStd($D9, I$5, $C9, $C$1, $C$2)*1000</f>
        <v>#VALUE!</v>
      </c>
      <c r="J9" s="13" t="e" cm="1">
        <f t="array" ref="J9">_xll.Turner.GasRateStd($D9, J$5, $C9, $C$1, $C$2)*1000</f>
        <v>#VALUE!</v>
      </c>
      <c r="K9" s="13" t="e" cm="1">
        <f t="array" ref="K9">_xll.Turner.GasRateStd($D9, K$5, $C9, $C$1, $C$2)*1000</f>
        <v>#VALUE!</v>
      </c>
      <c r="L9" s="13" t="e" cm="1">
        <f t="array" ref="L9">_xll.Turner.GasRateStd($D9, L$5, $C9, $C$1, $C$2)*1000</f>
        <v>#VALUE!</v>
      </c>
      <c r="M9" s="13" t="e" cm="1">
        <f t="array" ref="M9">_xll.Turner.GasRateStd($D9, M$5, $C9, $C$1, $C$2)*1000</f>
        <v>#VALUE!</v>
      </c>
      <c r="N9" s="13" t="e" cm="1">
        <f t="array" ref="N9">_xll.Turner.GasRateStd($D9, N$5, $C9, $C$1, $C$2)*1000</f>
        <v>#VALUE!</v>
      </c>
      <c r="O9" s="1" cm="1">
        <f t="array" ref="O9">_xll.GasZKatz(C9, $C$1, $C$2)</f>
        <v>0.99430191362386122</v>
      </c>
    </row>
    <row r="10" spans="1:15" x14ac:dyDescent="0.45">
      <c r="A10">
        <v>50</v>
      </c>
      <c r="B10" t="str">
        <f t="shared" si="2"/>
        <v>50 psig</v>
      </c>
      <c r="C10" s="1">
        <f>14.7+A10</f>
        <v>64.7</v>
      </c>
      <c r="D10" s="1" t="e" cm="1">
        <f t="array" ref="D10">_xll.Turner.GasVelocityWater(C10)</f>
        <v>#VALUE!</v>
      </c>
      <c r="E10" s="13" t="e" cm="1">
        <f t="array" ref="E10">_xll.Turner.GasRateStd($D10, E$5, $C10, $C$1, $C$2)*1000</f>
        <v>#VALUE!</v>
      </c>
      <c r="F10" s="13" t="e" cm="1">
        <f t="array" ref="F10">_xll.Turner.GasRateStd($D10, F$5, $C10, $C$1, $C$2)*1000</f>
        <v>#VALUE!</v>
      </c>
      <c r="G10" s="13" t="e" cm="1">
        <f t="array" ref="G10">_xll.Turner.GasRateStd($D10, G$5, $C10, $C$1, $C$2)*1000</f>
        <v>#VALUE!</v>
      </c>
      <c r="H10" s="13" t="e" cm="1">
        <f t="array" ref="H10">_xll.Turner.GasRateStd($D10, H$5, $C10, $C$1, $C$2)*1000</f>
        <v>#VALUE!</v>
      </c>
      <c r="I10" s="13" t="e" cm="1">
        <f t="array" ref="I10">_xll.Turner.GasRateStd($D10, I$5, $C10, $C$1, $C$2)*1000</f>
        <v>#VALUE!</v>
      </c>
      <c r="J10" s="13" t="e" cm="1">
        <f t="array" ref="J10">_xll.Turner.GasRateStd($D10, J$5, $C10, $C$1, $C$2)*1000</f>
        <v>#VALUE!</v>
      </c>
      <c r="K10" s="13" t="e" cm="1">
        <f t="array" ref="K10">_xll.Turner.GasRateStd($D10, K$5, $C10, $C$1, $C$2)*1000</f>
        <v>#VALUE!</v>
      </c>
      <c r="L10" s="13" t="e" cm="1">
        <f t="array" ref="L10">_xll.Turner.GasRateStd($D10, L$5, $C10, $C$1, $C$2)*1000</f>
        <v>#VALUE!</v>
      </c>
      <c r="M10" s="13" t="e" cm="1">
        <f t="array" ref="M10">_xll.Turner.GasRateStd($D10, M$5, $C10, $C$1, $C$2)*1000</f>
        <v>#VALUE!</v>
      </c>
      <c r="N10" s="13" t="e" cm="1">
        <f t="array" ref="N10">_xll.Turner.GasRateStd($D10, N$5, $C10, $C$1, $C$2)*1000</f>
        <v>#VALUE!</v>
      </c>
      <c r="O10" s="1" cm="1">
        <f t="array" ref="O10">_xll.GasZKatz(C10, $C$1, $C$2)</f>
        <v>0.99175946750961697</v>
      </c>
    </row>
    <row r="11" spans="1:15" x14ac:dyDescent="0.45">
      <c r="A11">
        <v>150</v>
      </c>
      <c r="B11" t="str">
        <f t="shared" si="2"/>
        <v>150 psig</v>
      </c>
      <c r="C11" s="1">
        <f>14.7+A11</f>
        <v>164.7</v>
      </c>
      <c r="D11" s="1" t="e" cm="1">
        <f t="array" ref="D11">_xll.Turner.GasVelocityWater(C11)</f>
        <v>#VALUE!</v>
      </c>
      <c r="E11" s="13" t="e" cm="1">
        <f t="array" ref="E11">_xll.Turner.GasRateStd($D11, E$5, $C11, $C$1, $C$2)*1000</f>
        <v>#VALUE!</v>
      </c>
      <c r="F11" s="13" t="e" cm="1">
        <f t="array" ref="F11">_xll.Turner.GasRateStd($D11, F$5, $C11, $C$1, $C$2)*1000</f>
        <v>#VALUE!</v>
      </c>
      <c r="G11" s="13" t="e" cm="1">
        <f t="array" ref="G11">_xll.Turner.GasRateStd($D11, G$5, $C11, $C$1, $C$2)*1000</f>
        <v>#VALUE!</v>
      </c>
      <c r="H11" s="13" t="e" cm="1">
        <f t="array" ref="H11">_xll.Turner.GasRateStd($D11, H$5, $C11, $C$1, $C$2)*1000</f>
        <v>#VALUE!</v>
      </c>
      <c r="I11" s="13" t="e" cm="1">
        <f t="array" ref="I11">_xll.Turner.GasRateStd($D11, I$5, $C11, $C$1, $C$2)*1000</f>
        <v>#VALUE!</v>
      </c>
      <c r="J11" s="13" t="e" cm="1">
        <f t="array" ref="J11">_xll.Turner.GasRateStd($D11, J$5, $C11, $C$1, $C$2)*1000</f>
        <v>#VALUE!</v>
      </c>
      <c r="K11" s="13" t="e" cm="1">
        <f t="array" ref="K11">_xll.Turner.GasRateStd($D11, K$5, $C11, $C$1, $C$2)*1000</f>
        <v>#VALUE!</v>
      </c>
      <c r="L11" s="13" t="e" cm="1">
        <f t="array" ref="L11">_xll.Turner.GasRateStd($D11, L$5, $C11, $C$1, $C$2)*1000</f>
        <v>#VALUE!</v>
      </c>
      <c r="M11" s="13" t="e" cm="1">
        <f t="array" ref="M11">_xll.Turner.GasRateStd($D11, M$5, $C11, $C$1, $C$2)*1000</f>
        <v>#VALUE!</v>
      </c>
      <c r="N11" s="13" t="e" cm="1">
        <f t="array" ref="N11">_xll.Turner.GasRateStd($D11, N$5, $C11, $C$1, $C$2)*1000</f>
        <v>#VALUE!</v>
      </c>
      <c r="O11" s="1" cm="1">
        <f t="array" ref="O11">_xll.GasZKatz(C11, $C$1, $C$2)</f>
        <v>0.97912108742689663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McNealy, Timothy R</dc:creator>
  <cp:lastModifiedBy>McNealy, Timothy R</cp:lastModifiedBy>
  <dcterms:created xsi:type="dcterms:W3CDTF">2026-07-21T14:04:38Z</dcterms:created>
  <dcterms:modified xsi:type="dcterms:W3CDTF">2026-07-24T13:50:32Z</dcterms:modified>
</cp:coreProperties>
</file>