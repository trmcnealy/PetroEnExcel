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texastechuniversity-my.sharepoint.com/personal/timothy_r_mcnealy_ttu_edu/Documents/_RA/Software/PetroEnExcel/"/>
    </mc:Choice>
  </mc:AlternateContent>
  <xr:revisionPtr revIDLastSave="2759" documentId="8_{03D19FE5-4C1B-4758-A069-D27241405251}" xr6:coauthVersionLast="47" xr6:coauthVersionMax="47" xr10:uidLastSave="{BB07A537-E3A2-4F32-A886-B699032D2896}"/>
  <bookViews>
    <workbookView xWindow="12340" yWindow="1360" windowWidth="23820" windowHeight="19010" activeTab="3" xr2:uid="{A7B65BF9-4374-45FC-9EF2-B95AF0170AC1}"/>
  </bookViews>
  <sheets>
    <sheet name="HagedornBrown" sheetId="1" r:id="rId1"/>
    <sheet name="GVF" sheetId="2" r:id="rId2"/>
    <sheet name="TurnerAll" sheetId="3" r:id="rId3"/>
    <sheet name="TurnerALM" sheetId="5" r:id="rId4"/>
    <sheet name="LEP" sheetId="4" r:id="rId5"/>
  </sheets>
  <definedNames>
    <definedName name="solver_adj" localSheetId="1" hidden="1">GVF!$C$11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GVF!$E$11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0.3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2" i="5" l="1"/>
  <c r="X24" i="5"/>
  <c r="V31" i="5"/>
  <c r="T31" i="5"/>
  <c r="Q5" i="5"/>
  <c r="Q6" i="5"/>
  <c r="L3" i="5"/>
  <c r="K3" i="5"/>
  <c r="J3" i="5"/>
  <c r="I3" i="5"/>
  <c r="H3" i="5"/>
  <c r="G3" i="5"/>
  <c r="F3" i="5"/>
  <c r="E3" i="5"/>
  <c r="D3" i="5"/>
  <c r="C3" i="5"/>
  <c r="L21" i="5"/>
  <c r="K21" i="5"/>
  <c r="J21" i="5"/>
  <c r="I21" i="5"/>
  <c r="H21" i="5"/>
  <c r="G21" i="5"/>
  <c r="F21" i="5"/>
  <c r="E21" i="5"/>
  <c r="D21" i="5"/>
  <c r="C21" i="5"/>
  <c r="V26" i="5"/>
  <c r="V24" i="5"/>
  <c r="X32" i="5" s="1"/>
  <c r="T22" i="5"/>
  <c r="V25" i="5"/>
  <c r="V27" i="5"/>
  <c r="V28" i="5"/>
  <c r="V29" i="5"/>
  <c r="T26" i="5"/>
  <c r="T27" i="5"/>
  <c r="T28" i="5"/>
  <c r="T29" i="5"/>
  <c r="T25" i="5"/>
  <c r="T24" i="5"/>
  <c r="P33" i="5"/>
  <c r="O33" i="5"/>
  <c r="L130" i="5"/>
  <c r="K130" i="5"/>
  <c r="J130" i="5"/>
  <c r="I130" i="5"/>
  <c r="H130" i="5"/>
  <c r="G130" i="5"/>
  <c r="F130" i="5"/>
  <c r="E130" i="5"/>
  <c r="D130" i="5"/>
  <c r="C130" i="5"/>
  <c r="L112" i="5"/>
  <c r="K112" i="5"/>
  <c r="J112" i="5"/>
  <c r="I112" i="5"/>
  <c r="H112" i="5"/>
  <c r="G112" i="5"/>
  <c r="F112" i="5"/>
  <c r="E112" i="5"/>
  <c r="D112" i="5"/>
  <c r="C112" i="5"/>
  <c r="D94" i="5"/>
  <c r="E94" i="5"/>
  <c r="F94" i="5"/>
  <c r="G94" i="5"/>
  <c r="H94" i="5"/>
  <c r="I94" i="5"/>
  <c r="J94" i="5"/>
  <c r="K94" i="5"/>
  <c r="L94" i="5"/>
  <c r="C94" i="5"/>
  <c r="O27" i="5"/>
  <c r="P27" i="5" s="1"/>
  <c r="O26" i="5"/>
  <c r="P26" i="5" s="1"/>
  <c r="Q7" i="5"/>
  <c r="O9" i="5"/>
  <c r="Q8" i="5"/>
  <c r="D75" i="5"/>
  <c r="E75" i="5"/>
  <c r="F75" i="5"/>
  <c r="G75" i="5"/>
  <c r="H75" i="5"/>
  <c r="I75" i="5"/>
  <c r="J75" i="5"/>
  <c r="K75" i="5"/>
  <c r="L75" i="5"/>
  <c r="C75" i="5"/>
  <c r="L57" i="5"/>
  <c r="K57" i="5"/>
  <c r="J57" i="5"/>
  <c r="I57" i="5"/>
  <c r="H57" i="5"/>
  <c r="G57" i="5"/>
  <c r="F57" i="5"/>
  <c r="E57" i="5"/>
  <c r="D57" i="5"/>
  <c r="C57" i="5"/>
  <c r="D39" i="5"/>
  <c r="E39" i="5"/>
  <c r="F39" i="5"/>
  <c r="G39" i="5"/>
  <c r="H39" i="5"/>
  <c r="I39" i="5"/>
  <c r="J39" i="5"/>
  <c r="K39" i="5"/>
  <c r="L39" i="5"/>
  <c r="C39" i="5"/>
  <c r="E27" i="3" a="1"/>
  <c r="F27" i="3" a="1"/>
  <c r="G27" i="3" a="1"/>
  <c r="H27" i="3" a="1"/>
  <c r="K27" i="3" a="1"/>
  <c r="L27" i="3" a="1"/>
  <c r="M27" i="3" a="1"/>
  <c r="N27" i="3" a="1"/>
  <c r="F26" i="3" a="1"/>
  <c r="G26" i="3" a="1"/>
  <c r="H26" i="3" a="1"/>
  <c r="K26" i="3" a="1"/>
  <c r="L26" i="3" a="1"/>
  <c r="M26" i="3" a="1"/>
  <c r="N26" i="3" a="1"/>
  <c r="E26" i="3" a="1"/>
  <c r="D54" i="3"/>
  <c r="D63" i="3" s="1"/>
  <c r="D72" i="3" s="1"/>
  <c r="D81" i="3" s="1"/>
  <c r="D90" i="3" s="1"/>
  <c r="D99" i="3" s="1"/>
  <c r="D108" i="3" s="1"/>
  <c r="D117" i="3" s="1"/>
  <c r="D126" i="3" s="1"/>
  <c r="D135" i="3" s="1"/>
  <c r="D144" i="3" s="1"/>
  <c r="D153" i="3" s="1"/>
  <c r="D162" i="3" s="1"/>
  <c r="D171" i="3" s="1"/>
  <c r="D55" i="3"/>
  <c r="D64" i="3" s="1"/>
  <c r="D73" i="3" s="1"/>
  <c r="D82" i="3" s="1"/>
  <c r="D91" i="3" s="1"/>
  <c r="D100" i="3" s="1"/>
  <c r="D109" i="3" s="1"/>
  <c r="D118" i="3" s="1"/>
  <c r="D127" i="3" s="1"/>
  <c r="D136" i="3" s="1"/>
  <c r="D145" i="3" s="1"/>
  <c r="D154" i="3" s="1"/>
  <c r="D163" i="3" s="1"/>
  <c r="D172" i="3" s="1"/>
  <c r="D56" i="3"/>
  <c r="D65" i="3" s="1"/>
  <c r="D74" i="3" s="1"/>
  <c r="D83" i="3" s="1"/>
  <c r="D92" i="3" s="1"/>
  <c r="D101" i="3" s="1"/>
  <c r="D110" i="3" s="1"/>
  <c r="D119" i="3" s="1"/>
  <c r="D128" i="3" s="1"/>
  <c r="D137" i="3" s="1"/>
  <c r="D146" i="3" s="1"/>
  <c r="D155" i="3" s="1"/>
  <c r="D164" i="3" s="1"/>
  <c r="D173" i="3" s="1"/>
  <c r="D57" i="3"/>
  <c r="D66" i="3" s="1"/>
  <c r="D75" i="3" s="1"/>
  <c r="D84" i="3" s="1"/>
  <c r="D93" i="3" s="1"/>
  <c r="D102" i="3" s="1"/>
  <c r="D111" i="3" s="1"/>
  <c r="D120" i="3" s="1"/>
  <c r="D129" i="3" s="1"/>
  <c r="D138" i="3" s="1"/>
  <c r="D147" i="3" s="1"/>
  <c r="D156" i="3" s="1"/>
  <c r="D165" i="3" s="1"/>
  <c r="D174" i="3" s="1"/>
  <c r="D58" i="3"/>
  <c r="D67" i="3" s="1"/>
  <c r="D76" i="3" s="1"/>
  <c r="D85" i="3" s="1"/>
  <c r="D94" i="3" s="1"/>
  <c r="D103" i="3" s="1"/>
  <c r="D112" i="3" s="1"/>
  <c r="D121" i="3" s="1"/>
  <c r="D130" i="3" s="1"/>
  <c r="D139" i="3" s="1"/>
  <c r="D148" i="3" s="1"/>
  <c r="D157" i="3" s="1"/>
  <c r="D166" i="3" s="1"/>
  <c r="D175" i="3" s="1"/>
  <c r="D59" i="3"/>
  <c r="D68" i="3" s="1"/>
  <c r="D77" i="3" s="1"/>
  <c r="D86" i="3" s="1"/>
  <c r="D95" i="3" s="1"/>
  <c r="D104" i="3" s="1"/>
  <c r="D113" i="3" s="1"/>
  <c r="D122" i="3" s="1"/>
  <c r="D131" i="3" s="1"/>
  <c r="D140" i="3" s="1"/>
  <c r="D149" i="3" s="1"/>
  <c r="D158" i="3" s="1"/>
  <c r="D167" i="3" s="1"/>
  <c r="D176" i="3" s="1"/>
  <c r="D60" i="3"/>
  <c r="D69" i="3" s="1"/>
  <c r="D78" i="3" s="1"/>
  <c r="D87" i="3" s="1"/>
  <c r="D96" i="3" s="1"/>
  <c r="D105" i="3" s="1"/>
  <c r="D114" i="3" s="1"/>
  <c r="D123" i="3" s="1"/>
  <c r="D132" i="3" s="1"/>
  <c r="D141" i="3" s="1"/>
  <c r="D150" i="3" s="1"/>
  <c r="D159" i="3" s="1"/>
  <c r="D168" i="3" s="1"/>
  <c r="D177" i="3" s="1"/>
  <c r="D61" i="3"/>
  <c r="D70" i="3" s="1"/>
  <c r="D79" i="3" s="1"/>
  <c r="D88" i="3" s="1"/>
  <c r="D97" i="3" s="1"/>
  <c r="D106" i="3" s="1"/>
  <c r="D115" i="3" s="1"/>
  <c r="D124" i="3" s="1"/>
  <c r="D133" i="3" s="1"/>
  <c r="D142" i="3" s="1"/>
  <c r="D151" i="3" s="1"/>
  <c r="D160" i="3" s="1"/>
  <c r="D169" i="3" s="1"/>
  <c r="D178" i="3" s="1"/>
  <c r="D53" i="3"/>
  <c r="D62" i="3" s="1"/>
  <c r="D71" i="3" s="1"/>
  <c r="D80" i="3" s="1"/>
  <c r="D89" i="3" s="1"/>
  <c r="D98" i="3" s="1"/>
  <c r="D107" i="3" s="1"/>
  <c r="D116" i="3" s="1"/>
  <c r="D125" i="3" s="1"/>
  <c r="D134" i="3" s="1"/>
  <c r="D143" i="3" s="1"/>
  <c r="D152" i="3" s="1"/>
  <c r="D161" i="3" s="1"/>
  <c r="D170" i="3" s="1"/>
  <c r="D8" i="3" a="1"/>
  <c r="N2" i="3"/>
  <c r="E7" i="3"/>
  <c r="D9" i="3" a="1"/>
  <c r="E9" i="3" s="1" a="1"/>
  <c r="C27" i="4"/>
  <c r="B27" i="4"/>
  <c r="G29" i="4"/>
  <c r="D28" i="4"/>
  <c r="O27" i="4"/>
  <c r="E29" i="4"/>
  <c r="J35" i="4"/>
  <c r="K36" i="4"/>
  <c r="I34" i="4"/>
  <c r="H33" i="4"/>
  <c r="J17" i="4"/>
  <c r="J15" i="4"/>
  <c r="J16" i="4"/>
  <c r="J14" i="4"/>
  <c r="L14" i="4"/>
  <c r="B33" i="4"/>
  <c r="M14" i="4"/>
  <c r="N14" i="4" s="1"/>
  <c r="G36" i="4"/>
  <c r="F35" i="4"/>
  <c r="D34" i="4"/>
  <c r="O37" i="4"/>
  <c r="O34" i="4"/>
  <c r="O35" i="4"/>
  <c r="O36" i="4"/>
  <c r="O33" i="4"/>
  <c r="C8" i="4"/>
  <c r="C9" i="4"/>
  <c r="C10" i="4"/>
  <c r="C7" i="4"/>
  <c r="G20" i="4"/>
  <c r="H20" i="4" s="1"/>
  <c r="I20" i="4" s="1"/>
  <c r="J20" i="4" s="1" a="1"/>
  <c r="K20" i="4" s="1"/>
  <c r="E20" i="4"/>
  <c r="F20" i="4" s="1"/>
  <c r="E22" i="4"/>
  <c r="F22" i="4" s="1"/>
  <c r="E28" i="4" s="1"/>
  <c r="E23" i="4"/>
  <c r="F23" i="4" s="1"/>
  <c r="E21" i="4"/>
  <c r="F21" i="4" s="1"/>
  <c r="E2" i="4"/>
  <c r="G21" i="4"/>
  <c r="H21" i="4" s="1"/>
  <c r="I21" i="4" s="1"/>
  <c r="J21" i="4" s="1" a="1"/>
  <c r="K21" i="4" s="1"/>
  <c r="C30" i="4" s="1"/>
  <c r="E1" i="4"/>
  <c r="I15" i="4"/>
  <c r="I16" i="4"/>
  <c r="I17" i="4"/>
  <c r="I14" i="4"/>
  <c r="D15" i="4"/>
  <c r="F15" i="4" s="1"/>
  <c r="D16" i="4"/>
  <c r="F16" i="4" s="1"/>
  <c r="D17" i="4"/>
  <c r="F17" i="4" s="1"/>
  <c r="C14" i="4"/>
  <c r="D14" i="4" s="1"/>
  <c r="F14" i="4" s="1"/>
  <c r="G22" i="4"/>
  <c r="H22" i="4" s="1"/>
  <c r="I22" i="4" s="1"/>
  <c r="J22" i="4" s="1" a="1"/>
  <c r="K22" i="4" s="1"/>
  <c r="E31" i="4" s="1"/>
  <c r="G23" i="4"/>
  <c r="H23" i="4" s="1"/>
  <c r="I23" i="4" s="1"/>
  <c r="J23" i="4" s="1" a="1"/>
  <c r="K23" i="4" s="1"/>
  <c r="G32" i="4" s="1"/>
  <c r="A28" i="4"/>
  <c r="A29" i="4" s="1"/>
  <c r="A30" i="4" s="1"/>
  <c r="A31" i="4" s="1"/>
  <c r="A32" i="4" s="1"/>
  <c r="A33" i="4" s="1"/>
  <c r="A34" i="4" s="1"/>
  <c r="A35" i="4" s="1"/>
  <c r="A36" i="4" s="1"/>
  <c r="H5" i="4"/>
  <c r="E4" i="4"/>
  <c r="B19" i="1" a="1"/>
  <c r="B18" i="1" a="1"/>
  <c r="B20" i="1" s="1" a="1"/>
  <c r="B14" i="1" a="1"/>
  <c r="B15" i="1" s="1" a="1"/>
  <c r="B24" i="1" s="1" a="1"/>
  <c r="D3" i="1"/>
  <c r="G1" i="3" a="1"/>
  <c r="G2" i="3" s="1" a="1"/>
  <c r="C8" i="3"/>
  <c r="C26" i="3" s="1"/>
  <c r="P9" i="3" a="1"/>
  <c r="P8" i="3" a="1"/>
  <c r="C1" i="3"/>
  <c r="M5" i="3"/>
  <c r="B9" i="3"/>
  <c r="B8" i="3"/>
  <c r="F7" i="3"/>
  <c r="G7" i="3"/>
  <c r="H7" i="3"/>
  <c r="K7" i="3"/>
  <c r="L7" i="3"/>
  <c r="M7" i="3"/>
  <c r="N7" i="3"/>
  <c r="C9" i="3"/>
  <c r="C27" i="3" s="1"/>
  <c r="N5" i="3"/>
  <c r="F5" i="3"/>
  <c r="G5" i="3"/>
  <c r="H5" i="3"/>
  <c r="K5" i="3"/>
  <c r="L5" i="3"/>
  <c r="J4" i="3"/>
  <c r="I4" i="3"/>
  <c r="E5" i="3"/>
  <c r="D41" i="2"/>
  <c r="D42" i="2"/>
  <c r="D43" i="2"/>
  <c r="D44" i="2"/>
  <c r="D45" i="2"/>
  <c r="D46" i="2"/>
  <c r="D47" i="2"/>
  <c r="D48" i="2"/>
  <c r="D49" i="2"/>
  <c r="D40" i="2"/>
  <c r="C31" i="2"/>
  <c r="C32" i="2"/>
  <c r="C33" i="2"/>
  <c r="C34" i="2"/>
  <c r="C35" i="2"/>
  <c r="C36" i="2"/>
  <c r="C37" i="2"/>
  <c r="C38" i="2"/>
  <c r="C39" i="2"/>
  <c r="C30" i="2"/>
  <c r="D31" i="2"/>
  <c r="D32" i="2"/>
  <c r="D33" i="2"/>
  <c r="D34" i="2"/>
  <c r="D35" i="2"/>
  <c r="D36" i="2"/>
  <c r="D37" i="2"/>
  <c r="D38" i="2"/>
  <c r="D39" i="2"/>
  <c r="D30" i="2"/>
  <c r="F6" i="2"/>
  <c r="F7" i="2"/>
  <c r="F8" i="2"/>
  <c r="F9" i="2"/>
  <c r="F10" i="2"/>
  <c r="F11" i="2"/>
  <c r="F12" i="2"/>
  <c r="F13" i="2"/>
  <c r="F14" i="2"/>
  <c r="F5" i="2"/>
  <c r="E5" i="2" a="1"/>
  <c r="E6" i="2" a="1"/>
  <c r="E7" i="2" a="1"/>
  <c r="E8" i="2" a="1"/>
  <c r="E9" i="2" a="1"/>
  <c r="E10" i="2" a="1"/>
  <c r="E11" i="2" a="1"/>
  <c r="E12" i="2" a="1"/>
  <c r="E13" i="2" a="1"/>
  <c r="E14" i="2" a="1"/>
  <c r="E2" i="2"/>
  <c r="C7" i="2"/>
  <c r="C8" i="2" s="1"/>
  <c r="C9" i="2" s="1"/>
  <c r="C12" i="2" s="1"/>
  <c r="C13" i="2" s="1"/>
  <c r="C14" i="2" s="1"/>
  <c r="C6" i="2"/>
  <c r="B7" i="2"/>
  <c r="B8" i="2" s="1"/>
  <c r="B9" i="2" s="1"/>
  <c r="B10" i="2" s="1"/>
  <c r="B11" i="2" s="1"/>
  <c r="B12" i="2" s="1"/>
  <c r="B13" i="2" s="1"/>
  <c r="B14" i="2" s="1"/>
  <c r="B6" i="2"/>
  <c r="B12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B13" i="1"/>
  <c r="D4" i="1"/>
  <c r="X34" i="5" l="1"/>
  <c r="X26" i="5"/>
  <c r="X35" i="5"/>
  <c r="X27" i="5"/>
  <c r="X36" i="5"/>
  <c r="X28" i="5"/>
  <c r="X37" i="5"/>
  <c r="X29" i="5"/>
  <c r="X33" i="5"/>
  <c r="X25" i="5"/>
  <c r="O10" i="5"/>
  <c r="O11" i="5" s="1"/>
  <c r="Q9" i="5"/>
  <c r="V30" i="5"/>
  <c r="T30" i="5"/>
  <c r="Q10" i="5"/>
  <c r="N8" i="3" a="1"/>
  <c r="E8" i="3" a="1"/>
  <c r="C35" i="3"/>
  <c r="C36" i="3"/>
  <c r="J8" i="3" a="1"/>
  <c r="K8" i="3" a="1"/>
  <c r="G8" i="3" a="1"/>
  <c r="M8" i="3" a="1"/>
  <c r="I7" i="3"/>
  <c r="I5" i="3"/>
  <c r="C10" i="3"/>
  <c r="C28" i="3" s="1"/>
  <c r="B10" i="3"/>
  <c r="L8" i="3" a="1"/>
  <c r="F8" i="3" a="1"/>
  <c r="I8" i="3" a="1"/>
  <c r="H8" i="3" a="1"/>
  <c r="F9" i="3" a="1"/>
  <c r="H9" i="3" a="1"/>
  <c r="K9" i="3" a="1"/>
  <c r="J9" i="3" a="1"/>
  <c r="L9" i="3" a="1"/>
  <c r="G9" i="3" a="1"/>
  <c r="I9" i="3" a="1"/>
  <c r="M9" i="3" a="1"/>
  <c r="N9" i="3" a="1"/>
  <c r="M27" i="4" a="1"/>
  <c r="C28" i="4"/>
  <c r="G15" i="4"/>
  <c r="G16" i="4"/>
  <c r="F29" i="4"/>
  <c r="G17" i="4"/>
  <c r="G14" i="4"/>
  <c r="H12" i="4"/>
  <c r="I24" i="1" a="1"/>
  <c r="J24" i="1" s="1" a="1"/>
  <c r="I25" i="1" a="1"/>
  <c r="I26" i="1" a="1"/>
  <c r="I27" i="1" a="1"/>
  <c r="I28" i="1" a="1"/>
  <c r="I29" i="1" a="1"/>
  <c r="I30" i="1" a="1"/>
  <c r="I31" i="1" a="1"/>
  <c r="I32" i="1" a="1"/>
  <c r="I33" i="1" a="1"/>
  <c r="I34" i="1" a="1"/>
  <c r="I35" i="1" a="1"/>
  <c r="I36" i="1" a="1"/>
  <c r="I37" i="1" a="1"/>
  <c r="I38" i="1" a="1"/>
  <c r="I39" i="1" a="1"/>
  <c r="I40" i="1" a="1"/>
  <c r="I41" i="1" a="1"/>
  <c r="I42" i="1" a="1"/>
  <c r="I43" i="1" a="1"/>
  <c r="I46" i="1" a="1"/>
  <c r="I47" i="1" a="1"/>
  <c r="I48" i="1" a="1"/>
  <c r="I49" i="1" a="1"/>
  <c r="I50" i="1" a="1"/>
  <c r="I51" i="1" a="1"/>
  <c r="I52" i="1" a="1"/>
  <c r="I53" i="1" a="1"/>
  <c r="I54" i="1" a="1"/>
  <c r="I55" i="1" a="1"/>
  <c r="I56" i="1" a="1"/>
  <c r="I57" i="1" a="1"/>
  <c r="I58" i="1" a="1"/>
  <c r="I59" i="1" a="1"/>
  <c r="I60" i="1" a="1"/>
  <c r="I61" i="1" a="1"/>
  <c r="I62" i="1" a="1"/>
  <c r="I63" i="1" a="1"/>
  <c r="I64" i="1" a="1"/>
  <c r="I65" i="1" a="1"/>
  <c r="I66" i="1" a="1"/>
  <c r="I67" i="1" a="1"/>
  <c r="I68" i="1" a="1"/>
  <c r="I69" i="1" a="1"/>
  <c r="I70" i="1" a="1"/>
  <c r="I71" i="1" a="1"/>
  <c r="I73" i="1" a="1"/>
  <c r="I74" i="1" a="1"/>
  <c r="I75" i="1" a="1"/>
  <c r="I76" i="1" a="1"/>
  <c r="I77" i="1" a="1"/>
  <c r="I78" i="1" a="1"/>
  <c r="I79" i="1" a="1"/>
  <c r="I80" i="1" a="1"/>
  <c r="I81" i="1" a="1"/>
  <c r="I82" i="1" a="1"/>
  <c r="I83" i="1" a="1"/>
  <c r="I84" i="1" a="1"/>
  <c r="I85" i="1" a="1"/>
  <c r="I86" i="1" a="1"/>
  <c r="I87" i="1" a="1"/>
  <c r="I88" i="1" a="1"/>
  <c r="I89" i="1" a="1"/>
  <c r="I90" i="1" a="1"/>
  <c r="I91" i="1" a="1"/>
  <c r="I92" i="1" a="1"/>
  <c r="I93" i="1" a="1"/>
  <c r="I94" i="1" a="1"/>
  <c r="I95" i="1" a="1"/>
  <c r="I96" i="1" a="1"/>
  <c r="I97" i="1" a="1"/>
  <c r="I98" i="1" a="1"/>
  <c r="I99" i="1" a="1"/>
  <c r="I100" i="1" a="1"/>
  <c r="I101" i="1" a="1"/>
  <c r="I102" i="1" a="1"/>
  <c r="I103" i="1" a="1"/>
  <c r="I104" i="1" a="1"/>
  <c r="I105" i="1" a="1"/>
  <c r="I106" i="1" a="1"/>
  <c r="I107" i="1" a="1"/>
  <c r="I108" i="1" a="1"/>
  <c r="I109" i="1" a="1"/>
  <c r="I112" i="1" a="1"/>
  <c r="I116" i="1" a="1"/>
  <c r="I119" i="1" a="1"/>
  <c r="I122" i="1" a="1"/>
  <c r="I45" i="1" a="1"/>
  <c r="I111" i="1" a="1"/>
  <c r="I115" i="1" a="1"/>
  <c r="I124" i="1" a="1"/>
  <c r="I44" i="1" a="1"/>
  <c r="I113" i="1" a="1"/>
  <c r="I118" i="1" a="1"/>
  <c r="I121" i="1" a="1"/>
  <c r="I72" i="1" a="1"/>
  <c r="I110" i="1" a="1"/>
  <c r="I114" i="1" a="1"/>
  <c r="I117" i="1" a="1"/>
  <c r="I120" i="1" a="1"/>
  <c r="I123" i="1" a="1"/>
  <c r="J5" i="3"/>
  <c r="J7" i="3"/>
  <c r="X38" i="5" l="1"/>
  <c r="X30" i="5"/>
  <c r="O12" i="5"/>
  <c r="Q12" i="5" s="1"/>
  <c r="Q11" i="5"/>
  <c r="I27" i="3" a="1"/>
  <c r="I26" i="3" a="1"/>
  <c r="F28" i="3" a="1"/>
  <c r="G28" i="3" a="1"/>
  <c r="I28" i="3" a="1"/>
  <c r="K28" i="3" a="1"/>
  <c r="L28" i="3" a="1"/>
  <c r="E28" i="3" a="1"/>
  <c r="H28" i="3" a="1"/>
  <c r="J28" i="3" a="1"/>
  <c r="M28" i="3" a="1"/>
  <c r="N28" i="3" a="1"/>
  <c r="J27" i="3" a="1"/>
  <c r="J26" i="3" a="1"/>
  <c r="O28" i="5"/>
  <c r="P28" i="5" s="1"/>
  <c r="N29" i="5"/>
  <c r="E35" i="3" a="1"/>
  <c r="F35" i="3" a="1"/>
  <c r="G35" i="3" a="1"/>
  <c r="H35" i="3" a="1"/>
  <c r="I35" i="3" a="1"/>
  <c r="J35" i="3" a="1"/>
  <c r="K35" i="3" a="1"/>
  <c r="L35" i="3" a="1"/>
  <c r="M35" i="3" a="1"/>
  <c r="N35" i="3" a="1"/>
  <c r="H36" i="3" a="1"/>
  <c r="J36" i="3" a="1"/>
  <c r="M36" i="3" a="1"/>
  <c r="G36" i="3" a="1"/>
  <c r="L36" i="3" a="1"/>
  <c r="E36" i="3" a="1"/>
  <c r="F36" i="3" a="1"/>
  <c r="I36" i="3" a="1"/>
  <c r="K36" i="3" a="1"/>
  <c r="N36" i="3" a="1"/>
  <c r="C44" i="3"/>
  <c r="C45" i="3"/>
  <c r="C37" i="3"/>
  <c r="P10" i="3" a="1"/>
  <c r="D10" i="3" a="1"/>
  <c r="B11" i="3"/>
  <c r="C11" i="3"/>
  <c r="C29" i="3" s="1"/>
  <c r="K60" i="1"/>
  <c r="J60" i="1" a="1"/>
  <c r="K30" i="1"/>
  <c r="J30" i="1" a="1"/>
  <c r="K42" i="1"/>
  <c r="J42" i="1" a="1"/>
  <c r="K71" i="1"/>
  <c r="J71" i="1" a="1"/>
  <c r="K82" i="1"/>
  <c r="J82" i="1" a="1"/>
  <c r="M30" i="4"/>
  <c r="M31" i="4"/>
  <c r="M32" i="4"/>
  <c r="M44" i="4" s="1"/>
  <c r="M33" i="4"/>
  <c r="M34" i="4"/>
  <c r="M46" i="4" s="1"/>
  <c r="M35" i="4"/>
  <c r="M36" i="4"/>
  <c r="M37" i="4"/>
  <c r="M27" i="4"/>
  <c r="M28" i="4"/>
  <c r="M40" i="4" s="1"/>
  <c r="M29" i="4"/>
  <c r="M41" i="4"/>
  <c r="M47" i="4"/>
  <c r="M49" i="4"/>
  <c r="M39" i="4"/>
  <c r="M45" i="4"/>
  <c r="M43" i="4"/>
  <c r="M42" i="4"/>
  <c r="M48" i="4"/>
  <c r="K31" i="1"/>
  <c r="J31" i="1" a="1"/>
  <c r="K57" i="1"/>
  <c r="J57" i="1" a="1"/>
  <c r="K77" i="1"/>
  <c r="J77" i="1" a="1"/>
  <c r="K92" i="1"/>
  <c r="J92" i="1" a="1"/>
  <c r="K50" i="1"/>
  <c r="J50" i="1" a="1"/>
  <c r="J36" i="1" a="1"/>
  <c r="K36" i="1"/>
  <c r="J46" i="1" a="1"/>
  <c r="K46" i="1"/>
  <c r="J51" i="1" a="1"/>
  <c r="K51" i="1"/>
  <c r="J53" i="1" a="1"/>
  <c r="K53" i="1"/>
  <c r="J83" i="1" a="1"/>
  <c r="K83" i="1"/>
  <c r="J97" i="1" a="1"/>
  <c r="K97" i="1"/>
  <c r="K38" i="1"/>
  <c r="J38" i="1" a="1"/>
  <c r="K69" i="1"/>
  <c r="J69" i="1" a="1"/>
  <c r="K35" i="1"/>
  <c r="J35" i="1" a="1"/>
  <c r="K49" i="1"/>
  <c r="J49" i="1" a="1"/>
  <c r="K67" i="1"/>
  <c r="J67" i="1" a="1"/>
  <c r="K89" i="1"/>
  <c r="J89" i="1" a="1"/>
  <c r="K106" i="1"/>
  <c r="J106" i="1" a="1"/>
  <c r="K93" i="1"/>
  <c r="J93" i="1" a="1"/>
  <c r="K99" i="1"/>
  <c r="J99" i="1" a="1"/>
  <c r="K81" i="1"/>
  <c r="J81" i="1" a="1"/>
  <c r="K113" i="1"/>
  <c r="J113" i="1" a="1"/>
  <c r="K123" i="1"/>
  <c r="J123" i="1" a="1"/>
  <c r="K37" i="1"/>
  <c r="J37" i="1" a="1"/>
  <c r="K39" i="1"/>
  <c r="J39" i="1" a="1"/>
  <c r="K79" i="1"/>
  <c r="J79" i="1" a="1"/>
  <c r="K78" i="1"/>
  <c r="J78" i="1" a="1"/>
  <c r="K115" i="1"/>
  <c r="J115" i="1" a="1"/>
  <c r="K66" i="1"/>
  <c r="J66" i="1" a="1"/>
  <c r="K103" i="1"/>
  <c r="J103" i="1" a="1"/>
  <c r="K110" i="1"/>
  <c r="J110" i="1" a="1"/>
  <c r="K24" i="1"/>
  <c r="K33" i="1"/>
  <c r="J33" i="1" a="1"/>
  <c r="K80" i="1"/>
  <c r="J80" i="1" a="1"/>
  <c r="K43" i="1"/>
  <c r="J43" i="1" a="1"/>
  <c r="K63" i="1"/>
  <c r="J63" i="1" a="1"/>
  <c r="K76" i="1"/>
  <c r="J76" i="1" a="1"/>
  <c r="K90" i="1"/>
  <c r="J90" i="1" a="1"/>
  <c r="K96" i="1"/>
  <c r="J96" i="1" a="1"/>
  <c r="K98" i="1"/>
  <c r="J98" i="1" a="1"/>
  <c r="K112" i="1"/>
  <c r="J112" i="1" a="1"/>
  <c r="K120" i="1"/>
  <c r="J120" i="1" a="1"/>
  <c r="K34" i="1"/>
  <c r="J34" i="1" a="1"/>
  <c r="K48" i="1"/>
  <c r="J48" i="1" a="1"/>
  <c r="K55" i="1"/>
  <c r="J55" i="1" a="1"/>
  <c r="K65" i="1"/>
  <c r="J65" i="1" a="1"/>
  <c r="K102" i="1"/>
  <c r="J102" i="1" a="1"/>
  <c r="K107" i="1"/>
  <c r="J107" i="1" a="1"/>
  <c r="K62" i="1"/>
  <c r="J62" i="1" a="1"/>
  <c r="K91" i="1"/>
  <c r="J91" i="1" a="1"/>
  <c r="K28" i="1"/>
  <c r="J28" i="1" a="1"/>
  <c r="K56" i="1"/>
  <c r="J56" i="1" a="1"/>
  <c r="K88" i="1"/>
  <c r="J88" i="1" a="1"/>
  <c r="K44" i="1"/>
  <c r="J44" i="1" a="1"/>
  <c r="K86" i="1"/>
  <c r="J86" i="1" a="1"/>
  <c r="K117" i="1"/>
  <c r="J117" i="1" a="1"/>
  <c r="K75" i="1"/>
  <c r="J75" i="1" a="1"/>
  <c r="K84" i="1"/>
  <c r="J84" i="1" a="1"/>
  <c r="K100" i="1"/>
  <c r="J100" i="1" a="1"/>
  <c r="K101" i="1"/>
  <c r="J101" i="1" a="1"/>
  <c r="K105" i="1"/>
  <c r="J105" i="1" a="1"/>
  <c r="K109" i="1"/>
  <c r="J109" i="1" a="1"/>
  <c r="K111" i="1"/>
  <c r="J111" i="1" a="1"/>
  <c r="K119" i="1"/>
  <c r="J119" i="1" a="1"/>
  <c r="K61" i="1"/>
  <c r="J61" i="1" a="1"/>
  <c r="K64" i="1"/>
  <c r="J64" i="1" a="1"/>
  <c r="K73" i="1"/>
  <c r="J73" i="1" a="1"/>
  <c r="K87" i="1"/>
  <c r="J87" i="1" a="1"/>
  <c r="K124" i="1"/>
  <c r="J124" i="1" a="1"/>
  <c r="J40" i="1" a="1"/>
  <c r="K40" i="1"/>
  <c r="J85" i="1" a="1"/>
  <c r="K85" i="1"/>
  <c r="K74" i="1"/>
  <c r="J74" i="1" a="1"/>
  <c r="K104" i="1"/>
  <c r="J104" i="1" a="1"/>
  <c r="K122" i="1"/>
  <c r="J122" i="1" a="1"/>
  <c r="J27" i="1" a="1"/>
  <c r="K27" i="1"/>
  <c r="J29" i="1" a="1"/>
  <c r="K29" i="1"/>
  <c r="J32" i="1" a="1"/>
  <c r="K32" i="1"/>
  <c r="J41" i="1" a="1"/>
  <c r="K41" i="1"/>
  <c r="J45" i="1" a="1"/>
  <c r="K45" i="1"/>
  <c r="J47" i="1" a="1"/>
  <c r="K47" i="1"/>
  <c r="J52" i="1" a="1"/>
  <c r="K52" i="1"/>
  <c r="J54" i="1" a="1"/>
  <c r="K54" i="1"/>
  <c r="J58" i="1" a="1"/>
  <c r="K58" i="1"/>
  <c r="J59" i="1" a="1"/>
  <c r="K59" i="1"/>
  <c r="J68" i="1" a="1"/>
  <c r="K68" i="1"/>
  <c r="J70" i="1" a="1"/>
  <c r="K70" i="1"/>
  <c r="J72" i="1" a="1"/>
  <c r="K72" i="1"/>
  <c r="J94" i="1" a="1"/>
  <c r="K94" i="1"/>
  <c r="J95" i="1" a="1"/>
  <c r="K95" i="1"/>
  <c r="J108" i="1" a="1"/>
  <c r="K108" i="1"/>
  <c r="J118" i="1" a="1"/>
  <c r="K118" i="1"/>
  <c r="J114" i="1" a="1"/>
  <c r="K114" i="1"/>
  <c r="J25" i="1" a="1"/>
  <c r="K25" i="1"/>
  <c r="J26" i="1" a="1"/>
  <c r="K26" i="1"/>
  <c r="J116" i="1" a="1"/>
  <c r="K116" i="1"/>
  <c r="J121" i="1" a="1"/>
  <c r="K121" i="1"/>
  <c r="F29" i="3" l="1" a="1"/>
  <c r="H29" i="3" a="1"/>
  <c r="I29" i="3" a="1"/>
  <c r="J29" i="3" a="1"/>
  <c r="L29" i="3" a="1"/>
  <c r="N29" i="3" a="1"/>
  <c r="E29" i="3" a="1"/>
  <c r="G29" i="3" a="1"/>
  <c r="K29" i="3" a="1"/>
  <c r="M29" i="3" a="1"/>
  <c r="O29" i="5"/>
  <c r="P29" i="5" s="1"/>
  <c r="N30" i="5"/>
  <c r="O30" i="5" s="1"/>
  <c r="P30" i="5" s="1"/>
  <c r="F44" i="3" a="1"/>
  <c r="L44" i="3" a="1"/>
  <c r="G44" i="3" a="1"/>
  <c r="N44" i="3" a="1"/>
  <c r="H44" i="3" a="1"/>
  <c r="J44" i="3" a="1"/>
  <c r="K44" i="3" a="1"/>
  <c r="E44" i="3" a="1"/>
  <c r="I44" i="3" a="1"/>
  <c r="M44" i="3" a="1"/>
  <c r="E45" i="3" a="1"/>
  <c r="F45" i="3" a="1"/>
  <c r="G45" i="3" a="1"/>
  <c r="H45" i="3" a="1"/>
  <c r="I45" i="3" a="1"/>
  <c r="J45" i="3" a="1"/>
  <c r="K45" i="3" a="1"/>
  <c r="L45" i="3" a="1"/>
  <c r="M45" i="3" a="1"/>
  <c r="N45" i="3" a="1"/>
  <c r="F37" i="3" a="1"/>
  <c r="J37" i="3" a="1"/>
  <c r="K37" i="3" a="1"/>
  <c r="N37" i="3" a="1"/>
  <c r="E37" i="3" a="1"/>
  <c r="G37" i="3" a="1"/>
  <c r="H37" i="3" a="1"/>
  <c r="L37" i="3" a="1"/>
  <c r="I37" i="3" a="1"/>
  <c r="M37" i="3" a="1"/>
  <c r="C53" i="3"/>
  <c r="C54" i="3"/>
  <c r="C46" i="3"/>
  <c r="C38" i="3"/>
  <c r="F10" i="3" a="1"/>
  <c r="H10" i="3" a="1"/>
  <c r="N10" i="3" a="1"/>
  <c r="J10" i="3" a="1"/>
  <c r="G10" i="3" a="1"/>
  <c r="L10" i="3" a="1"/>
  <c r="M10" i="3" a="1"/>
  <c r="E10" i="3" a="1"/>
  <c r="K10" i="3" a="1"/>
  <c r="I10" i="3" a="1"/>
  <c r="D11" i="3" a="1"/>
  <c r="P11" i="3" a="1"/>
  <c r="C12" i="3"/>
  <c r="C30" i="3" s="1"/>
  <c r="A13" i="3"/>
  <c r="B12" i="3"/>
  <c r="E30" i="3" l="1" a="1"/>
  <c r="G30" i="3" a="1"/>
  <c r="H30" i="3" a="1"/>
  <c r="K30" i="3" a="1"/>
  <c r="L30" i="3" a="1"/>
  <c r="N30" i="3" a="1"/>
  <c r="F30" i="3" a="1"/>
  <c r="I30" i="3" a="1"/>
  <c r="J30" i="3" a="1"/>
  <c r="M30" i="3" a="1"/>
  <c r="G53" i="3" a="1"/>
  <c r="L53" i="3" a="1"/>
  <c r="E53" i="3" a="1"/>
  <c r="J53" i="3" a="1"/>
  <c r="I53" i="3" a="1"/>
  <c r="K53" i="3" a="1"/>
  <c r="M53" i="3" a="1"/>
  <c r="F53" i="3" a="1"/>
  <c r="N53" i="3" a="1"/>
  <c r="H53" i="3" a="1"/>
  <c r="E54" i="3" a="1"/>
  <c r="F54" i="3" a="1"/>
  <c r="L54" i="3" a="1"/>
  <c r="H54" i="3" a="1"/>
  <c r="M54" i="3" a="1"/>
  <c r="J54" i="3" a="1"/>
  <c r="K54" i="3" a="1"/>
  <c r="I54" i="3" a="1"/>
  <c r="G54" i="3" a="1"/>
  <c r="N54" i="3" a="1"/>
  <c r="H46" i="3" a="1"/>
  <c r="I46" i="3" a="1"/>
  <c r="J46" i="3" a="1"/>
  <c r="K46" i="3" a="1"/>
  <c r="L46" i="3" a="1"/>
  <c r="M46" i="3" a="1"/>
  <c r="N46" i="3" a="1"/>
  <c r="E46" i="3" a="1"/>
  <c r="F46" i="3" a="1"/>
  <c r="G46" i="3" a="1"/>
  <c r="L38" i="3" a="1"/>
  <c r="N38" i="3" a="1"/>
  <c r="F38" i="3" a="1"/>
  <c r="I38" i="3" a="1"/>
  <c r="K38" i="3" a="1"/>
  <c r="M38" i="3" a="1"/>
  <c r="E38" i="3" a="1"/>
  <c r="G38" i="3" a="1"/>
  <c r="J38" i="3" a="1"/>
  <c r="H38" i="3" a="1"/>
  <c r="C62" i="3"/>
  <c r="C63" i="3"/>
  <c r="C55" i="3"/>
  <c r="C47" i="3"/>
  <c r="C39" i="3"/>
  <c r="L11" i="3" a="1"/>
  <c r="M11" i="3" a="1"/>
  <c r="I11" i="3" a="1"/>
  <c r="N11" i="3" a="1"/>
  <c r="F11" i="3" a="1"/>
  <c r="J11" i="3" a="1"/>
  <c r="K11" i="3" a="1"/>
  <c r="G11" i="3" a="1"/>
  <c r="H11" i="3" a="1"/>
  <c r="E11" i="3" a="1"/>
  <c r="P12" i="3" a="1"/>
  <c r="D12" i="3" a="1"/>
  <c r="B13" i="3"/>
  <c r="A14" i="3"/>
  <c r="C13" i="3"/>
  <c r="C31" i="3" s="1"/>
  <c r="E31" i="3" l="1" a="1"/>
  <c r="G31" i="3" a="1"/>
  <c r="I31" i="3" a="1"/>
  <c r="J31" i="3" a="1"/>
  <c r="L31" i="3" a="1"/>
  <c r="M31" i="3" a="1"/>
  <c r="N31" i="3" a="1"/>
  <c r="F31" i="3" a="1"/>
  <c r="H31" i="3" a="1"/>
  <c r="K31" i="3" a="1"/>
  <c r="K62" i="3" a="1"/>
  <c r="F62" i="3" a="1"/>
  <c r="J62" i="3" a="1"/>
  <c r="L62" i="3" a="1"/>
  <c r="E62" i="3" a="1"/>
  <c r="H62" i="3" a="1"/>
  <c r="M62" i="3" a="1"/>
  <c r="N62" i="3" a="1"/>
  <c r="I62" i="3" a="1"/>
  <c r="G62" i="3" a="1"/>
  <c r="G63" i="3" a="1"/>
  <c r="K63" i="3" a="1"/>
  <c r="J63" i="3" a="1"/>
  <c r="E63" i="3" a="1"/>
  <c r="H63" i="3" a="1"/>
  <c r="L63" i="3" a="1"/>
  <c r="F63" i="3" a="1"/>
  <c r="I63" i="3" a="1"/>
  <c r="M63" i="3" a="1"/>
  <c r="N63" i="3" a="1"/>
  <c r="I55" i="3" a="1"/>
  <c r="M55" i="3" a="1"/>
  <c r="F55" i="3" a="1"/>
  <c r="J55" i="3" a="1"/>
  <c r="H55" i="3" a="1"/>
  <c r="L55" i="3" a="1"/>
  <c r="N55" i="3" a="1"/>
  <c r="G55" i="3" a="1"/>
  <c r="K55" i="3" a="1"/>
  <c r="E55" i="3" a="1"/>
  <c r="G47" i="3" a="1"/>
  <c r="H47" i="3" a="1"/>
  <c r="I47" i="3" a="1"/>
  <c r="J47" i="3" a="1"/>
  <c r="K47" i="3" a="1"/>
  <c r="L47" i="3" a="1"/>
  <c r="M47" i="3" a="1"/>
  <c r="E47" i="3" a="1"/>
  <c r="F47" i="3" a="1"/>
  <c r="N47" i="3" a="1"/>
  <c r="N39" i="3" a="1"/>
  <c r="J39" i="3" a="1"/>
  <c r="G39" i="3" a="1"/>
  <c r="L39" i="3" a="1"/>
  <c r="K39" i="3" a="1"/>
  <c r="M39" i="3" a="1"/>
  <c r="H39" i="3" a="1"/>
  <c r="I39" i="3" a="1"/>
  <c r="E39" i="3" a="1"/>
  <c r="F39" i="3" a="1"/>
  <c r="C71" i="3"/>
  <c r="C72" i="3"/>
  <c r="C64" i="3"/>
  <c r="C56" i="3"/>
  <c r="C48" i="3"/>
  <c r="C40" i="3"/>
  <c r="I12" i="3" a="1"/>
  <c r="L12" i="3" a="1"/>
  <c r="E12" i="3" a="1"/>
  <c r="K12" i="3" a="1"/>
  <c r="F12" i="3" a="1"/>
  <c r="J12" i="3" a="1"/>
  <c r="M12" i="3" a="1"/>
  <c r="G12" i="3" a="1"/>
  <c r="H12" i="3" a="1"/>
  <c r="N12" i="3" a="1"/>
  <c r="B14" i="3"/>
  <c r="A15" i="3"/>
  <c r="C14" i="3"/>
  <c r="C32" i="3" s="1"/>
  <c r="P13" i="3" a="1"/>
  <c r="D13" i="3" a="1"/>
  <c r="E32" i="3" l="1" a="1"/>
  <c r="G32" i="3" a="1"/>
  <c r="I32" i="3" a="1"/>
  <c r="J32" i="3" a="1"/>
  <c r="L32" i="3" a="1"/>
  <c r="N32" i="3" a="1"/>
  <c r="F32" i="3" a="1"/>
  <c r="H32" i="3" a="1"/>
  <c r="K32" i="3" a="1"/>
  <c r="M32" i="3" a="1"/>
  <c r="I71" i="3" a="1"/>
  <c r="F71" i="3" a="1"/>
  <c r="E71" i="3" a="1"/>
  <c r="J71" i="3" a="1"/>
  <c r="K71" i="3" a="1"/>
  <c r="L71" i="3" a="1"/>
  <c r="M71" i="3" a="1"/>
  <c r="G71" i="3" a="1"/>
  <c r="N71" i="3" a="1"/>
  <c r="H71" i="3" a="1"/>
  <c r="H72" i="3" a="1"/>
  <c r="F72" i="3" a="1"/>
  <c r="N72" i="3" a="1"/>
  <c r="G72" i="3" a="1"/>
  <c r="E72" i="3" a="1"/>
  <c r="I72" i="3" a="1"/>
  <c r="J72" i="3" a="1"/>
  <c r="K72" i="3" a="1"/>
  <c r="L72" i="3" a="1"/>
  <c r="M72" i="3" a="1"/>
  <c r="G64" i="3" a="1"/>
  <c r="H64" i="3" a="1"/>
  <c r="E64" i="3" a="1"/>
  <c r="N64" i="3" a="1"/>
  <c r="L64" i="3" a="1"/>
  <c r="F64" i="3" a="1"/>
  <c r="J64" i="3" a="1"/>
  <c r="I64" i="3" a="1"/>
  <c r="M64" i="3" a="1"/>
  <c r="K64" i="3" a="1"/>
  <c r="M56" i="3" a="1"/>
  <c r="I56" i="3" a="1"/>
  <c r="K56" i="3" a="1"/>
  <c r="E56" i="3" a="1"/>
  <c r="G56" i="3" a="1"/>
  <c r="J56" i="3" a="1"/>
  <c r="H56" i="3" a="1"/>
  <c r="N56" i="3" a="1"/>
  <c r="F56" i="3" a="1"/>
  <c r="L56" i="3" a="1"/>
  <c r="F48" i="3" a="1"/>
  <c r="G48" i="3" a="1"/>
  <c r="H48" i="3" a="1"/>
  <c r="I48" i="3" a="1"/>
  <c r="J48" i="3" a="1"/>
  <c r="K48" i="3" a="1"/>
  <c r="L48" i="3" a="1"/>
  <c r="M48" i="3" a="1"/>
  <c r="N48" i="3" a="1"/>
  <c r="E48" i="3" a="1"/>
  <c r="F40" i="3" a="1"/>
  <c r="H40" i="3" a="1"/>
  <c r="E40" i="3" a="1"/>
  <c r="N40" i="3" a="1"/>
  <c r="M40" i="3" a="1"/>
  <c r="J40" i="3" a="1"/>
  <c r="K40" i="3" a="1"/>
  <c r="G40" i="3" a="1"/>
  <c r="L40" i="3" a="1"/>
  <c r="I40" i="3" a="1"/>
  <c r="C80" i="3"/>
  <c r="C81" i="3"/>
  <c r="C73" i="3"/>
  <c r="C65" i="3"/>
  <c r="C57" i="3"/>
  <c r="C49" i="3"/>
  <c r="C41" i="3"/>
  <c r="B15" i="3"/>
  <c r="C15" i="3"/>
  <c r="C33" i="3" s="1"/>
  <c r="A16" i="3"/>
  <c r="A17" i="3" s="1"/>
  <c r="P14" i="3" a="1"/>
  <c r="D14" i="3" a="1"/>
  <c r="L13" i="3" a="1"/>
  <c r="J13" i="3" a="1"/>
  <c r="G13" i="3" a="1"/>
  <c r="H13" i="3" a="1"/>
  <c r="E13" i="3" a="1"/>
  <c r="I13" i="3" a="1"/>
  <c r="K13" i="3" a="1"/>
  <c r="F13" i="3" a="1"/>
  <c r="M13" i="3" a="1"/>
  <c r="N13" i="3" a="1"/>
  <c r="C17" i="3" l="1"/>
  <c r="B17" i="3"/>
  <c r="A18" i="3"/>
  <c r="E33" i="3" a="1"/>
  <c r="F33" i="3" a="1"/>
  <c r="H33" i="3" a="1"/>
  <c r="J33" i="3" a="1"/>
  <c r="K33" i="3" a="1"/>
  <c r="M33" i="3" a="1"/>
  <c r="N33" i="3" a="1"/>
  <c r="G33" i="3" a="1"/>
  <c r="I33" i="3" a="1"/>
  <c r="L33" i="3" a="1"/>
  <c r="K80" i="3" a="1"/>
  <c r="L80" i="3" a="1"/>
  <c r="J80" i="3" a="1"/>
  <c r="I80" i="3" a="1"/>
  <c r="H80" i="3" a="1"/>
  <c r="G80" i="3" a="1"/>
  <c r="F80" i="3" a="1"/>
  <c r="E80" i="3" a="1"/>
  <c r="N80" i="3" a="1"/>
  <c r="M80" i="3" a="1"/>
  <c r="N81" i="3" a="1"/>
  <c r="L81" i="3" a="1"/>
  <c r="K81" i="3" a="1"/>
  <c r="J81" i="3" a="1"/>
  <c r="I81" i="3" a="1"/>
  <c r="E81" i="3" a="1"/>
  <c r="H81" i="3" a="1"/>
  <c r="G81" i="3" a="1"/>
  <c r="F81" i="3" a="1"/>
  <c r="M81" i="3" a="1"/>
  <c r="J73" i="3" a="1"/>
  <c r="K73" i="3" a="1"/>
  <c r="N73" i="3" a="1"/>
  <c r="H73" i="3" a="1"/>
  <c r="L73" i="3" a="1"/>
  <c r="F73" i="3" a="1"/>
  <c r="G73" i="3" a="1"/>
  <c r="M73" i="3" a="1"/>
  <c r="E73" i="3" a="1"/>
  <c r="I73" i="3" a="1"/>
  <c r="G65" i="3" a="1"/>
  <c r="N65" i="3" a="1"/>
  <c r="M65" i="3" a="1"/>
  <c r="E65" i="3" a="1"/>
  <c r="H65" i="3" a="1"/>
  <c r="L65" i="3" a="1"/>
  <c r="I65" i="3" a="1"/>
  <c r="F65" i="3" a="1"/>
  <c r="J65" i="3" a="1"/>
  <c r="K65" i="3" a="1"/>
  <c r="G57" i="3" a="1"/>
  <c r="I57" i="3" a="1"/>
  <c r="M57" i="3" a="1"/>
  <c r="H57" i="3" a="1"/>
  <c r="L57" i="3" a="1"/>
  <c r="J57" i="3" a="1"/>
  <c r="E57" i="3" a="1"/>
  <c r="K57" i="3" a="1"/>
  <c r="N57" i="3" a="1"/>
  <c r="F57" i="3" a="1"/>
  <c r="L49" i="3" a="1"/>
  <c r="M49" i="3" a="1"/>
  <c r="K49" i="3" a="1"/>
  <c r="N49" i="3" a="1"/>
  <c r="J49" i="3" a="1"/>
  <c r="I49" i="3" a="1"/>
  <c r="H49" i="3" a="1"/>
  <c r="G49" i="3" a="1"/>
  <c r="F49" i="3" a="1"/>
  <c r="E49" i="3" a="1"/>
  <c r="K41" i="3" a="1"/>
  <c r="I41" i="3" a="1"/>
  <c r="M41" i="3" a="1"/>
  <c r="E41" i="3" a="1"/>
  <c r="H41" i="3" a="1"/>
  <c r="G41" i="3" a="1"/>
  <c r="L41" i="3" a="1"/>
  <c r="F41" i="3" a="1"/>
  <c r="N41" i="3" a="1"/>
  <c r="J41" i="3" a="1"/>
  <c r="C89" i="3"/>
  <c r="C90" i="3"/>
  <c r="C82" i="3"/>
  <c r="C74" i="3"/>
  <c r="C66" i="3"/>
  <c r="C58" i="3"/>
  <c r="C50" i="3"/>
  <c r="C42" i="3"/>
  <c r="D15" i="3" a="1"/>
  <c r="P15" i="3" a="1"/>
  <c r="B16" i="3"/>
  <c r="C16" i="3"/>
  <c r="C34" i="3" s="1"/>
  <c r="E14" i="3" a="1"/>
  <c r="J14" i="3" a="1"/>
  <c r="M14" i="3" a="1"/>
  <c r="L14" i="3" a="1"/>
  <c r="N14" i="3" a="1"/>
  <c r="G14" i="3" a="1"/>
  <c r="I14" i="3" a="1"/>
  <c r="H14" i="3" a="1"/>
  <c r="F14" i="3" a="1"/>
  <c r="K14" i="3" a="1"/>
  <c r="P17" i="3" l="1" a="1"/>
  <c r="D17" i="3" a="1"/>
  <c r="C18" i="3"/>
  <c r="B18" i="3"/>
  <c r="A19" i="3"/>
  <c r="G34" i="3" a="1"/>
  <c r="I34" i="3" a="1"/>
  <c r="K34" i="3" a="1"/>
  <c r="E34" i="3" a="1"/>
  <c r="F34" i="3" a="1"/>
  <c r="H34" i="3" a="1"/>
  <c r="J34" i="3" a="1"/>
  <c r="N34" i="3" a="1"/>
  <c r="M34" i="3" a="1"/>
  <c r="L34" i="3" a="1"/>
  <c r="N89" i="3" a="1"/>
  <c r="M89" i="3" a="1"/>
  <c r="I89" i="3" a="1"/>
  <c r="L89" i="3" a="1"/>
  <c r="J89" i="3" a="1"/>
  <c r="E89" i="3" a="1"/>
  <c r="F89" i="3" a="1"/>
  <c r="K89" i="3" a="1"/>
  <c r="G89" i="3" a="1"/>
  <c r="H89" i="3" a="1"/>
  <c r="N90" i="3" a="1"/>
  <c r="M90" i="3" a="1"/>
  <c r="L90" i="3" a="1"/>
  <c r="K90" i="3" a="1"/>
  <c r="J90" i="3" a="1"/>
  <c r="I90" i="3" a="1"/>
  <c r="H90" i="3" a="1"/>
  <c r="G90" i="3" a="1"/>
  <c r="F90" i="3" a="1"/>
  <c r="E90" i="3" a="1"/>
  <c r="M82" i="3" a="1"/>
  <c r="H82" i="3" a="1"/>
  <c r="F82" i="3" a="1"/>
  <c r="I82" i="3" a="1"/>
  <c r="N82" i="3" a="1"/>
  <c r="L82" i="3" a="1"/>
  <c r="J82" i="3" a="1"/>
  <c r="E82" i="3" a="1"/>
  <c r="K82" i="3" a="1"/>
  <c r="G82" i="3" a="1"/>
  <c r="E74" i="3" a="1"/>
  <c r="M74" i="3" a="1"/>
  <c r="J74" i="3" a="1"/>
  <c r="H74" i="3" a="1"/>
  <c r="I74" i="3" a="1"/>
  <c r="G74" i="3" a="1"/>
  <c r="F74" i="3" a="1"/>
  <c r="L74" i="3" a="1"/>
  <c r="N74" i="3" a="1"/>
  <c r="K74" i="3" a="1"/>
  <c r="I66" i="3" a="1"/>
  <c r="E66" i="3" a="1"/>
  <c r="M66" i="3" a="1"/>
  <c r="F66" i="3" a="1"/>
  <c r="N66" i="3" a="1"/>
  <c r="L66" i="3" a="1"/>
  <c r="G66" i="3" a="1"/>
  <c r="K66" i="3" a="1"/>
  <c r="J66" i="3" a="1"/>
  <c r="H66" i="3" a="1"/>
  <c r="K58" i="3" a="1"/>
  <c r="N58" i="3" a="1"/>
  <c r="H58" i="3" a="1"/>
  <c r="E58" i="3" a="1"/>
  <c r="J58" i="3" a="1"/>
  <c r="I58" i="3" a="1"/>
  <c r="L58" i="3" a="1"/>
  <c r="M58" i="3" a="1"/>
  <c r="G58" i="3" a="1"/>
  <c r="F58" i="3" a="1"/>
  <c r="H50" i="3" a="1"/>
  <c r="J50" i="3" a="1"/>
  <c r="I50" i="3" a="1"/>
  <c r="G50" i="3" a="1"/>
  <c r="F50" i="3" a="1"/>
  <c r="L50" i="3" a="1"/>
  <c r="E50" i="3" a="1"/>
  <c r="K50" i="3" a="1"/>
  <c r="N50" i="3" a="1"/>
  <c r="M50" i="3" a="1"/>
  <c r="E42" i="3" a="1"/>
  <c r="G42" i="3" a="1"/>
  <c r="J42" i="3" a="1"/>
  <c r="L42" i="3" a="1"/>
  <c r="H42" i="3" a="1"/>
  <c r="F42" i="3" a="1"/>
  <c r="N42" i="3" a="1"/>
  <c r="M42" i="3" a="1"/>
  <c r="I42" i="3" a="1"/>
  <c r="K42" i="3" a="1"/>
  <c r="C98" i="3"/>
  <c r="C99" i="3"/>
  <c r="C91" i="3"/>
  <c r="C83" i="3"/>
  <c r="C75" i="3"/>
  <c r="C67" i="3"/>
  <c r="C59" i="3"/>
  <c r="C51" i="3"/>
  <c r="C43" i="3"/>
  <c r="M15" i="3" a="1"/>
  <c r="L15" i="3" a="1"/>
  <c r="H15" i="3" a="1"/>
  <c r="I15" i="3" a="1"/>
  <c r="E15" i="3" a="1"/>
  <c r="K15" i="3" a="1"/>
  <c r="F15" i="3" a="1"/>
  <c r="N15" i="3" a="1"/>
  <c r="J15" i="3" a="1"/>
  <c r="G15" i="3" a="1"/>
  <c r="P16" i="3" a="1"/>
  <c r="D16" i="3" a="1"/>
  <c r="N17" i="3" l="1" a="1"/>
  <c r="L17" i="3" a="1"/>
  <c r="J17" i="3" a="1"/>
  <c r="M17" i="3" a="1"/>
  <c r="K17" i="3" a="1"/>
  <c r="I17" i="3" a="1"/>
  <c r="H17" i="3" a="1"/>
  <c r="G17" i="3" a="1"/>
  <c r="F17" i="3" a="1"/>
  <c r="E17" i="3" a="1"/>
  <c r="P18" i="3" a="1"/>
  <c r="D18" i="3" a="1"/>
  <c r="C19" i="3"/>
  <c r="B19" i="3"/>
  <c r="N98" i="3" a="1"/>
  <c r="M98" i="3" a="1"/>
  <c r="L98" i="3" a="1"/>
  <c r="I98" i="3" a="1"/>
  <c r="G98" i="3" a="1"/>
  <c r="E98" i="3" a="1"/>
  <c r="J98" i="3" a="1"/>
  <c r="F98" i="3" a="1"/>
  <c r="K98" i="3" a="1"/>
  <c r="H98" i="3" a="1"/>
  <c r="H99" i="3" a="1"/>
  <c r="G99" i="3" a="1"/>
  <c r="F99" i="3" a="1"/>
  <c r="E99" i="3" a="1"/>
  <c r="M99" i="3" a="1"/>
  <c r="L99" i="3" a="1"/>
  <c r="K99" i="3" a="1"/>
  <c r="N99" i="3" a="1"/>
  <c r="J99" i="3" a="1"/>
  <c r="I99" i="3" a="1"/>
  <c r="H91" i="3" a="1"/>
  <c r="N91" i="3" a="1"/>
  <c r="M91" i="3" a="1"/>
  <c r="L91" i="3" a="1"/>
  <c r="K91" i="3" a="1"/>
  <c r="J91" i="3" a="1"/>
  <c r="I91" i="3" a="1"/>
  <c r="G91" i="3" a="1"/>
  <c r="F91" i="3" a="1"/>
  <c r="E91" i="3" a="1"/>
  <c r="G83" i="3" a="1"/>
  <c r="K83" i="3" a="1"/>
  <c r="E83" i="3" a="1"/>
  <c r="I83" i="3" a="1"/>
  <c r="H83" i="3" a="1"/>
  <c r="N83" i="3" a="1"/>
  <c r="J83" i="3" a="1"/>
  <c r="M83" i="3" a="1"/>
  <c r="L83" i="3" a="1"/>
  <c r="F83" i="3" a="1"/>
  <c r="J75" i="3" a="1"/>
  <c r="K75" i="3" a="1"/>
  <c r="L75" i="3" a="1"/>
  <c r="M75" i="3" a="1"/>
  <c r="N75" i="3" a="1"/>
  <c r="G75" i="3" a="1"/>
  <c r="E75" i="3" a="1"/>
  <c r="F75" i="3" a="1"/>
  <c r="H75" i="3" a="1"/>
  <c r="I75" i="3" a="1"/>
  <c r="F67" i="3" a="1"/>
  <c r="N67" i="3" a="1"/>
  <c r="J67" i="3" a="1"/>
  <c r="K67" i="3" a="1"/>
  <c r="E67" i="3" a="1"/>
  <c r="I67" i="3" a="1"/>
  <c r="H67" i="3" a="1"/>
  <c r="M67" i="3" a="1"/>
  <c r="L67" i="3" a="1"/>
  <c r="G67" i="3" a="1"/>
  <c r="M59" i="3" a="1"/>
  <c r="L59" i="3" a="1"/>
  <c r="I59" i="3" a="1"/>
  <c r="J59" i="3" a="1"/>
  <c r="N59" i="3" a="1"/>
  <c r="K59" i="3" a="1"/>
  <c r="E59" i="3" a="1"/>
  <c r="H59" i="3" a="1"/>
  <c r="G59" i="3" a="1"/>
  <c r="F59" i="3" a="1"/>
  <c r="N51" i="3" a="1"/>
  <c r="M51" i="3" a="1"/>
  <c r="E51" i="3" a="1"/>
  <c r="L51" i="3" a="1"/>
  <c r="K51" i="3" a="1"/>
  <c r="J51" i="3" a="1"/>
  <c r="I51" i="3" a="1"/>
  <c r="H51" i="3" a="1"/>
  <c r="G51" i="3" a="1"/>
  <c r="F51" i="3" a="1"/>
  <c r="K43" i="3" a="1"/>
  <c r="I43" i="3" a="1"/>
  <c r="G43" i="3" a="1"/>
  <c r="H43" i="3" a="1"/>
  <c r="F43" i="3" a="1"/>
  <c r="L43" i="3" a="1"/>
  <c r="N43" i="3" a="1"/>
  <c r="M43" i="3" a="1"/>
  <c r="J43" i="3" a="1"/>
  <c r="E43" i="3" a="1"/>
  <c r="C107" i="3"/>
  <c r="C108" i="3"/>
  <c r="C100" i="3"/>
  <c r="C92" i="3"/>
  <c r="C84" i="3"/>
  <c r="C76" i="3"/>
  <c r="C68" i="3"/>
  <c r="C60" i="3"/>
  <c r="C52" i="3"/>
  <c r="M16" i="3" a="1"/>
  <c r="J16" i="3" a="1"/>
  <c r="I16" i="3" a="1"/>
  <c r="N16" i="3" a="1"/>
  <c r="G16" i="3" a="1"/>
  <c r="F16" i="3" a="1"/>
  <c r="L16" i="3" a="1"/>
  <c r="E16" i="3" a="1"/>
  <c r="K16" i="3" a="1"/>
  <c r="H16" i="3" a="1"/>
  <c r="N18" i="3" l="1" a="1"/>
  <c r="M18" i="3" a="1"/>
  <c r="L18" i="3" a="1"/>
  <c r="K18" i="3" a="1"/>
  <c r="J18" i="3" a="1"/>
  <c r="I18" i="3" a="1"/>
  <c r="H18" i="3" a="1"/>
  <c r="G18" i="3" a="1"/>
  <c r="F18" i="3" a="1"/>
  <c r="E18" i="3" a="1"/>
  <c r="P19" i="3" a="1"/>
  <c r="D19" i="3" a="1"/>
  <c r="L107" i="3" a="1"/>
  <c r="N107" i="3" a="1"/>
  <c r="K107" i="3" a="1"/>
  <c r="J107" i="3" a="1"/>
  <c r="I107" i="3" a="1"/>
  <c r="H107" i="3" a="1"/>
  <c r="G107" i="3" a="1"/>
  <c r="F107" i="3" a="1"/>
  <c r="E107" i="3" a="1"/>
  <c r="M107" i="3" a="1"/>
  <c r="I108" i="3" a="1"/>
  <c r="H108" i="3" a="1"/>
  <c r="G108" i="3" a="1"/>
  <c r="F108" i="3" a="1"/>
  <c r="E108" i="3" a="1"/>
  <c r="M108" i="3" a="1"/>
  <c r="L108" i="3" a="1"/>
  <c r="K108" i="3" a="1"/>
  <c r="N108" i="3" a="1"/>
  <c r="J108" i="3" a="1"/>
  <c r="J100" i="3" a="1"/>
  <c r="L100" i="3" a="1"/>
  <c r="M100" i="3" a="1"/>
  <c r="K100" i="3" a="1"/>
  <c r="I100" i="3" a="1"/>
  <c r="N100" i="3" a="1"/>
  <c r="H100" i="3" a="1"/>
  <c r="G100" i="3" a="1"/>
  <c r="F100" i="3" a="1"/>
  <c r="E100" i="3" a="1"/>
  <c r="H92" i="3" a="1"/>
  <c r="M92" i="3" a="1"/>
  <c r="G92" i="3" a="1"/>
  <c r="N92" i="3" a="1"/>
  <c r="F92" i="3" a="1"/>
  <c r="E92" i="3" a="1"/>
  <c r="L92" i="3" a="1"/>
  <c r="J92" i="3" a="1"/>
  <c r="K92" i="3" a="1"/>
  <c r="I92" i="3" a="1"/>
  <c r="I84" i="3" a="1"/>
  <c r="J84" i="3" a="1"/>
  <c r="K84" i="3" a="1"/>
  <c r="L84" i="3" a="1"/>
  <c r="M84" i="3" a="1"/>
  <c r="N84" i="3" a="1"/>
  <c r="E84" i="3" a="1"/>
  <c r="F84" i="3" a="1"/>
  <c r="G84" i="3" a="1"/>
  <c r="H84" i="3" a="1"/>
  <c r="I76" i="3" a="1"/>
  <c r="H76" i="3" a="1"/>
  <c r="G76" i="3" a="1"/>
  <c r="F76" i="3" a="1"/>
  <c r="E76" i="3" a="1"/>
  <c r="M76" i="3" a="1"/>
  <c r="N76" i="3" a="1"/>
  <c r="L76" i="3" a="1"/>
  <c r="K76" i="3" a="1"/>
  <c r="J76" i="3" a="1"/>
  <c r="M68" i="3" a="1"/>
  <c r="K68" i="3" a="1"/>
  <c r="N68" i="3" a="1"/>
  <c r="I68" i="3" a="1"/>
  <c r="H68" i="3" a="1"/>
  <c r="J68" i="3" a="1"/>
  <c r="L68" i="3" a="1"/>
  <c r="G68" i="3" a="1"/>
  <c r="E68" i="3" a="1"/>
  <c r="F68" i="3" a="1"/>
  <c r="J60" i="3" a="1"/>
  <c r="H60" i="3" a="1"/>
  <c r="G60" i="3" a="1"/>
  <c r="F60" i="3" a="1"/>
  <c r="E60" i="3" a="1"/>
  <c r="M60" i="3" a="1"/>
  <c r="I60" i="3" a="1"/>
  <c r="L60" i="3" a="1"/>
  <c r="K60" i="3" a="1"/>
  <c r="N60" i="3" a="1"/>
  <c r="K52" i="3" a="1"/>
  <c r="I52" i="3" a="1"/>
  <c r="F52" i="3" a="1"/>
  <c r="H52" i="3" a="1"/>
  <c r="N52" i="3" a="1"/>
  <c r="J52" i="3" a="1"/>
  <c r="G52" i="3" a="1"/>
  <c r="E52" i="3" a="1"/>
  <c r="M52" i="3" a="1"/>
  <c r="L52" i="3" a="1"/>
  <c r="C116" i="3"/>
  <c r="C117" i="3"/>
  <c r="C109" i="3"/>
  <c r="C101" i="3"/>
  <c r="C93" i="3"/>
  <c r="C85" i="3"/>
  <c r="C77" i="3"/>
  <c r="C69" i="3"/>
  <c r="C61" i="3"/>
  <c r="H19" i="3" l="1" a="1"/>
  <c r="G19" i="3" a="1"/>
  <c r="K19" i="3" a="1"/>
  <c r="N19" i="3" a="1"/>
  <c r="M19" i="3" a="1"/>
  <c r="L19" i="3" a="1"/>
  <c r="J19" i="3" a="1"/>
  <c r="I19" i="3" a="1"/>
  <c r="F19" i="3" a="1"/>
  <c r="E19" i="3" a="1"/>
  <c r="H116" i="3" a="1"/>
  <c r="M116" i="3" a="1"/>
  <c r="F116" i="3" a="1"/>
  <c r="E116" i="3" a="1"/>
  <c r="K116" i="3" a="1"/>
  <c r="I116" i="3" a="1"/>
  <c r="N116" i="3" a="1"/>
  <c r="L116" i="3" a="1"/>
  <c r="G116" i="3" a="1"/>
  <c r="J116" i="3" a="1"/>
  <c r="F117" i="3" a="1"/>
  <c r="E117" i="3" a="1"/>
  <c r="I117" i="3" a="1"/>
  <c r="G117" i="3" a="1"/>
  <c r="H117" i="3" a="1"/>
  <c r="N117" i="3" a="1"/>
  <c r="J117" i="3" a="1"/>
  <c r="K117" i="3" a="1"/>
  <c r="L117" i="3" a="1"/>
  <c r="M117" i="3" a="1"/>
  <c r="I109" i="3" a="1"/>
  <c r="H109" i="3" a="1"/>
  <c r="G109" i="3" a="1"/>
  <c r="F109" i="3" a="1"/>
  <c r="E109" i="3" a="1"/>
  <c r="J109" i="3" a="1"/>
  <c r="N109" i="3" a="1"/>
  <c r="L109" i="3" a="1"/>
  <c r="K109" i="3" a="1"/>
  <c r="M109" i="3" a="1"/>
  <c r="H101" i="3" a="1"/>
  <c r="I101" i="3" a="1"/>
  <c r="G101" i="3" a="1"/>
  <c r="F101" i="3" a="1"/>
  <c r="K101" i="3" a="1"/>
  <c r="N101" i="3" a="1"/>
  <c r="E101" i="3" a="1"/>
  <c r="L101" i="3" a="1"/>
  <c r="J101" i="3" a="1"/>
  <c r="M101" i="3" a="1"/>
  <c r="J93" i="3" a="1"/>
  <c r="I93" i="3" a="1"/>
  <c r="H93" i="3" a="1"/>
  <c r="G93" i="3" a="1"/>
  <c r="E93" i="3" a="1"/>
  <c r="F93" i="3" a="1"/>
  <c r="M93" i="3" a="1"/>
  <c r="L93" i="3" a="1"/>
  <c r="K93" i="3" a="1"/>
  <c r="N93" i="3" a="1"/>
  <c r="I85" i="3" a="1"/>
  <c r="J85" i="3" a="1"/>
  <c r="L85" i="3" a="1"/>
  <c r="M85" i="3" a="1"/>
  <c r="K85" i="3" a="1"/>
  <c r="N85" i="3" a="1"/>
  <c r="E85" i="3" a="1"/>
  <c r="F85" i="3" a="1"/>
  <c r="G85" i="3" a="1"/>
  <c r="H85" i="3" a="1"/>
  <c r="G77" i="3" a="1"/>
  <c r="F77" i="3" a="1"/>
  <c r="N77" i="3" a="1"/>
  <c r="M77" i="3" a="1"/>
  <c r="L77" i="3" a="1"/>
  <c r="K77" i="3" a="1"/>
  <c r="E77" i="3" a="1"/>
  <c r="J77" i="3" a="1"/>
  <c r="I77" i="3" a="1"/>
  <c r="H77" i="3" a="1"/>
  <c r="N69" i="3" a="1"/>
  <c r="M69" i="3" a="1"/>
  <c r="L69" i="3" a="1"/>
  <c r="K69" i="3" a="1"/>
  <c r="J69" i="3" a="1"/>
  <c r="I69" i="3" a="1"/>
  <c r="H69" i="3" a="1"/>
  <c r="G69" i="3" a="1"/>
  <c r="F69" i="3" a="1"/>
  <c r="E69" i="3" a="1"/>
  <c r="H61" i="3" a="1"/>
  <c r="L61" i="3" a="1"/>
  <c r="I61" i="3" a="1"/>
  <c r="J61" i="3" a="1"/>
  <c r="N61" i="3" a="1"/>
  <c r="M61" i="3" a="1"/>
  <c r="G61" i="3" a="1"/>
  <c r="F61" i="3" a="1"/>
  <c r="E61" i="3" a="1"/>
  <c r="K61" i="3" a="1"/>
  <c r="C125" i="3"/>
  <c r="C126" i="3"/>
  <c r="C118" i="3"/>
  <c r="C110" i="3"/>
  <c r="C102" i="3"/>
  <c r="C94" i="3"/>
  <c r="C86" i="3"/>
  <c r="C78" i="3"/>
  <c r="C70" i="3"/>
  <c r="C134" i="3" l="1"/>
  <c r="N125" i="3" a="1"/>
  <c r="M125" i="3" a="1"/>
  <c r="L125" i="3" a="1"/>
  <c r="K125" i="3" a="1"/>
  <c r="J125" i="3" a="1"/>
  <c r="I125" i="3" a="1"/>
  <c r="H125" i="3" a="1"/>
  <c r="G125" i="3" a="1"/>
  <c r="F125" i="3" a="1"/>
  <c r="E125" i="3" a="1"/>
  <c r="C135" i="3"/>
  <c r="N126" i="3" a="1"/>
  <c r="M126" i="3" a="1"/>
  <c r="L126" i="3" a="1"/>
  <c r="K126" i="3" a="1"/>
  <c r="I126" i="3" a="1"/>
  <c r="H126" i="3" a="1"/>
  <c r="G126" i="3" a="1"/>
  <c r="F126" i="3" a="1"/>
  <c r="E126" i="3" a="1"/>
  <c r="J126" i="3" a="1"/>
  <c r="F118" i="3" a="1"/>
  <c r="E118" i="3" a="1"/>
  <c r="K118" i="3" a="1"/>
  <c r="M118" i="3" a="1"/>
  <c r="H118" i="3" a="1"/>
  <c r="G118" i="3" a="1"/>
  <c r="I118" i="3" a="1"/>
  <c r="J118" i="3" a="1"/>
  <c r="L118" i="3" a="1"/>
  <c r="N118" i="3" a="1"/>
  <c r="J110" i="3" a="1"/>
  <c r="K110" i="3" a="1"/>
  <c r="N110" i="3" a="1"/>
  <c r="I110" i="3" a="1"/>
  <c r="H110" i="3" a="1"/>
  <c r="F110" i="3" a="1"/>
  <c r="E110" i="3" a="1"/>
  <c r="M110" i="3" a="1"/>
  <c r="L110" i="3" a="1"/>
  <c r="G110" i="3" a="1"/>
  <c r="N102" i="3" a="1"/>
  <c r="E102" i="3" a="1"/>
  <c r="F102" i="3" a="1"/>
  <c r="G102" i="3" a="1"/>
  <c r="H102" i="3" a="1"/>
  <c r="I102" i="3" a="1"/>
  <c r="J102" i="3" a="1"/>
  <c r="K102" i="3" a="1"/>
  <c r="L102" i="3" a="1"/>
  <c r="M102" i="3" a="1"/>
  <c r="E94" i="3" a="1"/>
  <c r="H94" i="3" a="1"/>
  <c r="F94" i="3" a="1"/>
  <c r="N94" i="3" a="1"/>
  <c r="M94" i="3" a="1"/>
  <c r="L94" i="3" a="1"/>
  <c r="K94" i="3" a="1"/>
  <c r="J94" i="3" a="1"/>
  <c r="I94" i="3" a="1"/>
  <c r="G94" i="3" a="1"/>
  <c r="E86" i="3" a="1"/>
  <c r="G86" i="3" a="1"/>
  <c r="F86" i="3" a="1"/>
  <c r="H86" i="3" a="1"/>
  <c r="I86" i="3" a="1"/>
  <c r="L86" i="3" a="1"/>
  <c r="J86" i="3" a="1"/>
  <c r="N86" i="3" a="1"/>
  <c r="M86" i="3" a="1"/>
  <c r="K86" i="3" a="1"/>
  <c r="N78" i="3" a="1"/>
  <c r="M78" i="3" a="1"/>
  <c r="L78" i="3" a="1"/>
  <c r="K78" i="3" a="1"/>
  <c r="J78" i="3" a="1"/>
  <c r="I78" i="3" a="1"/>
  <c r="H78" i="3" a="1"/>
  <c r="G78" i="3" a="1"/>
  <c r="E78" i="3" a="1"/>
  <c r="F78" i="3" a="1"/>
  <c r="J70" i="3" a="1"/>
  <c r="N70" i="3" a="1"/>
  <c r="M70" i="3" a="1"/>
  <c r="I70" i="3" a="1"/>
  <c r="H70" i="3" a="1"/>
  <c r="G70" i="3" a="1"/>
  <c r="F70" i="3" a="1"/>
  <c r="L70" i="3" a="1"/>
  <c r="E70" i="3" a="1"/>
  <c r="K70" i="3" a="1"/>
  <c r="C144" i="3"/>
  <c r="C143" i="3"/>
  <c r="C127" i="3"/>
  <c r="C119" i="3"/>
  <c r="C111" i="3"/>
  <c r="C103" i="3"/>
  <c r="C95" i="3"/>
  <c r="C87" i="3"/>
  <c r="C79" i="3"/>
  <c r="I134" i="3" l="1" a="1"/>
  <c r="L134" i="3" a="1"/>
  <c r="G134" i="3" a="1"/>
  <c r="M134" i="3" a="1"/>
  <c r="E134" i="3" a="1"/>
  <c r="J134" i="3" a="1"/>
  <c r="H134" i="3" a="1"/>
  <c r="N134" i="3" a="1"/>
  <c r="K134" i="3" a="1"/>
  <c r="F134" i="3" a="1"/>
  <c r="K135" i="3" a="1"/>
  <c r="J135" i="3" a="1"/>
  <c r="I135" i="3" a="1"/>
  <c r="H135" i="3" a="1"/>
  <c r="G135" i="3" a="1"/>
  <c r="F135" i="3" a="1"/>
  <c r="N135" i="3" a="1"/>
  <c r="M135" i="3" a="1"/>
  <c r="E135" i="3" a="1"/>
  <c r="L135" i="3" a="1"/>
  <c r="F144" i="3" a="1"/>
  <c r="N144" i="3" a="1"/>
  <c r="H144" i="3" a="1"/>
  <c r="E144" i="3" a="1"/>
  <c r="G144" i="3" a="1"/>
  <c r="I144" i="3" a="1"/>
  <c r="J144" i="3" a="1"/>
  <c r="K144" i="3" a="1"/>
  <c r="L144" i="3" a="1"/>
  <c r="M144" i="3" a="1"/>
  <c r="G143" i="3" a="1"/>
  <c r="J143" i="3" a="1"/>
  <c r="E143" i="3" a="1"/>
  <c r="H143" i="3" a="1"/>
  <c r="N143" i="3" a="1"/>
  <c r="M143" i="3" a="1"/>
  <c r="K143" i="3" a="1"/>
  <c r="F143" i="3" a="1"/>
  <c r="I143" i="3" a="1"/>
  <c r="L143" i="3" a="1"/>
  <c r="C136" i="3"/>
  <c r="L127" i="3" a="1"/>
  <c r="J127" i="3" a="1"/>
  <c r="I127" i="3" a="1"/>
  <c r="F127" i="3" a="1"/>
  <c r="E127" i="3" a="1"/>
  <c r="M127" i="3" a="1"/>
  <c r="H127" i="3" a="1"/>
  <c r="K127" i="3" a="1"/>
  <c r="G127" i="3" a="1"/>
  <c r="N127" i="3" a="1"/>
  <c r="G119" i="3" a="1"/>
  <c r="M119" i="3" a="1"/>
  <c r="L119" i="3" a="1"/>
  <c r="N119" i="3" a="1"/>
  <c r="E119" i="3" a="1"/>
  <c r="F119" i="3" a="1"/>
  <c r="K119" i="3" a="1"/>
  <c r="J119" i="3" a="1"/>
  <c r="I119" i="3" a="1"/>
  <c r="H119" i="3" a="1"/>
  <c r="F111" i="3" a="1"/>
  <c r="M111" i="3" a="1"/>
  <c r="J111" i="3" a="1"/>
  <c r="G111" i="3" a="1"/>
  <c r="L111" i="3" a="1"/>
  <c r="H111" i="3" a="1"/>
  <c r="N111" i="3" a="1"/>
  <c r="K111" i="3" a="1"/>
  <c r="I111" i="3" a="1"/>
  <c r="E111" i="3" a="1"/>
  <c r="K103" i="3" a="1"/>
  <c r="E103" i="3" a="1"/>
  <c r="J103" i="3" a="1"/>
  <c r="N103" i="3" a="1"/>
  <c r="F103" i="3" a="1"/>
  <c r="I103" i="3" a="1"/>
  <c r="M103" i="3" a="1"/>
  <c r="H103" i="3" a="1"/>
  <c r="G103" i="3" a="1"/>
  <c r="L103" i="3" a="1"/>
  <c r="K95" i="3" a="1"/>
  <c r="L95" i="3" a="1"/>
  <c r="M95" i="3" a="1"/>
  <c r="N95" i="3" a="1"/>
  <c r="E95" i="3" a="1"/>
  <c r="F95" i="3" a="1"/>
  <c r="G95" i="3" a="1"/>
  <c r="H95" i="3" a="1"/>
  <c r="I95" i="3" a="1"/>
  <c r="J95" i="3" a="1"/>
  <c r="F87" i="3" a="1"/>
  <c r="L87" i="3" a="1"/>
  <c r="J87" i="3" a="1"/>
  <c r="K87" i="3" a="1"/>
  <c r="N87" i="3" a="1"/>
  <c r="H87" i="3" a="1"/>
  <c r="G87" i="3" a="1"/>
  <c r="E87" i="3" a="1"/>
  <c r="M87" i="3" a="1"/>
  <c r="I87" i="3" a="1"/>
  <c r="L79" i="3" a="1"/>
  <c r="K79" i="3" a="1"/>
  <c r="J79" i="3" a="1"/>
  <c r="I79" i="3" a="1"/>
  <c r="H79" i="3" a="1"/>
  <c r="G79" i="3" a="1"/>
  <c r="F79" i="3" a="1"/>
  <c r="E79" i="3" a="1"/>
  <c r="N79" i="3" a="1"/>
  <c r="M79" i="3" a="1"/>
  <c r="C145" i="3"/>
  <c r="C153" i="3"/>
  <c r="C152" i="3"/>
  <c r="C128" i="3"/>
  <c r="C120" i="3"/>
  <c r="C112" i="3"/>
  <c r="C104" i="3"/>
  <c r="C96" i="3"/>
  <c r="C88" i="3"/>
  <c r="I136" i="3" l="1" a="1"/>
  <c r="J136" i="3" a="1"/>
  <c r="E136" i="3" a="1"/>
  <c r="G136" i="3" a="1"/>
  <c r="N136" i="3" a="1"/>
  <c r="F136" i="3" a="1"/>
  <c r="L136" i="3" a="1"/>
  <c r="H136" i="3" a="1"/>
  <c r="K136" i="3" a="1"/>
  <c r="M136" i="3" a="1"/>
  <c r="L145" i="3" a="1"/>
  <c r="K145" i="3" a="1"/>
  <c r="J145" i="3" a="1"/>
  <c r="H145" i="3" a="1"/>
  <c r="G145" i="3" a="1"/>
  <c r="N145" i="3" a="1"/>
  <c r="F145" i="3" a="1"/>
  <c r="I145" i="3" a="1"/>
  <c r="E145" i="3" a="1"/>
  <c r="M145" i="3" a="1"/>
  <c r="F153" i="3" a="1"/>
  <c r="E153" i="3" a="1"/>
  <c r="N153" i="3" a="1"/>
  <c r="M153" i="3" a="1"/>
  <c r="L153" i="3" a="1"/>
  <c r="K153" i="3" a="1"/>
  <c r="J153" i="3" a="1"/>
  <c r="I153" i="3" a="1"/>
  <c r="H153" i="3" a="1"/>
  <c r="G153" i="3" a="1"/>
  <c r="K152" i="3" a="1"/>
  <c r="J152" i="3" a="1"/>
  <c r="I152" i="3" a="1"/>
  <c r="H152" i="3" a="1"/>
  <c r="F152" i="3" a="1"/>
  <c r="N152" i="3" a="1"/>
  <c r="G152" i="3" a="1"/>
  <c r="E152" i="3" a="1"/>
  <c r="L152" i="3" a="1"/>
  <c r="M152" i="3" a="1"/>
  <c r="C137" i="3"/>
  <c r="G128" i="3" a="1"/>
  <c r="K128" i="3" a="1"/>
  <c r="N128" i="3" a="1"/>
  <c r="E128" i="3" a="1"/>
  <c r="F128" i="3" a="1"/>
  <c r="I128" i="3" a="1"/>
  <c r="H128" i="3" a="1"/>
  <c r="J128" i="3" a="1"/>
  <c r="L128" i="3" a="1"/>
  <c r="M128" i="3" a="1"/>
  <c r="L120" i="3" a="1"/>
  <c r="H120" i="3" a="1"/>
  <c r="F120" i="3" a="1"/>
  <c r="E120" i="3" a="1"/>
  <c r="K120" i="3" a="1"/>
  <c r="M120" i="3" a="1"/>
  <c r="N120" i="3" a="1"/>
  <c r="G120" i="3" a="1"/>
  <c r="I120" i="3" a="1"/>
  <c r="J120" i="3" a="1"/>
  <c r="F112" i="3" a="1"/>
  <c r="G112" i="3" a="1"/>
  <c r="M112" i="3" a="1"/>
  <c r="E112" i="3" a="1"/>
  <c r="K112" i="3" a="1"/>
  <c r="I112" i="3" a="1"/>
  <c r="L112" i="3" a="1"/>
  <c r="N112" i="3" a="1"/>
  <c r="J112" i="3" a="1"/>
  <c r="H112" i="3" a="1"/>
  <c r="H104" i="3" a="1"/>
  <c r="I104" i="3" a="1"/>
  <c r="J104" i="3" a="1"/>
  <c r="N104" i="3" a="1"/>
  <c r="E104" i="3" a="1"/>
  <c r="K104" i="3" a="1"/>
  <c r="F104" i="3" a="1"/>
  <c r="M104" i="3" a="1"/>
  <c r="G104" i="3" a="1"/>
  <c r="L104" i="3" a="1"/>
  <c r="K96" i="3" a="1"/>
  <c r="E96" i="3" a="1"/>
  <c r="F96" i="3" a="1"/>
  <c r="G96" i="3" a="1"/>
  <c r="H96" i="3" a="1"/>
  <c r="I96" i="3" a="1"/>
  <c r="J96" i="3" a="1"/>
  <c r="L96" i="3" a="1"/>
  <c r="M96" i="3" a="1"/>
  <c r="N96" i="3" a="1"/>
  <c r="L88" i="3" a="1"/>
  <c r="H88" i="3" a="1"/>
  <c r="F88" i="3" a="1"/>
  <c r="I88" i="3" a="1"/>
  <c r="M88" i="3" a="1"/>
  <c r="G88" i="3" a="1"/>
  <c r="J88" i="3" a="1"/>
  <c r="N88" i="3" a="1"/>
  <c r="K88" i="3" a="1"/>
  <c r="E88" i="3" a="1"/>
  <c r="C146" i="3"/>
  <c r="C154" i="3"/>
  <c r="C162" i="3"/>
  <c r="C161" i="3"/>
  <c r="C129" i="3"/>
  <c r="C121" i="3"/>
  <c r="C113" i="3"/>
  <c r="C105" i="3"/>
  <c r="C97" i="3"/>
  <c r="K137" i="3" l="1" a="1"/>
  <c r="G137" i="3" a="1"/>
  <c r="M137" i="3" a="1"/>
  <c r="N137" i="3" a="1"/>
  <c r="L137" i="3" a="1"/>
  <c r="F137" i="3" a="1"/>
  <c r="H137" i="3" a="1"/>
  <c r="J137" i="3" a="1"/>
  <c r="I137" i="3" a="1"/>
  <c r="E137" i="3" a="1"/>
  <c r="L146" i="3" a="1"/>
  <c r="J146" i="3" a="1"/>
  <c r="K146" i="3" a="1"/>
  <c r="H146" i="3" a="1"/>
  <c r="M146" i="3" a="1"/>
  <c r="N146" i="3" a="1"/>
  <c r="G146" i="3" a="1"/>
  <c r="I146" i="3" a="1"/>
  <c r="E146" i="3" a="1"/>
  <c r="F146" i="3" a="1"/>
  <c r="I154" i="3" a="1"/>
  <c r="M154" i="3" a="1"/>
  <c r="L154" i="3" a="1"/>
  <c r="K154" i="3" a="1"/>
  <c r="J154" i="3" a="1"/>
  <c r="H154" i="3" a="1"/>
  <c r="G154" i="3" a="1"/>
  <c r="F154" i="3" a="1"/>
  <c r="E154" i="3" a="1"/>
  <c r="N154" i="3" a="1"/>
  <c r="N162" i="3" a="1"/>
  <c r="M162" i="3" a="1"/>
  <c r="L162" i="3" a="1"/>
  <c r="K162" i="3" a="1"/>
  <c r="J162" i="3" a="1"/>
  <c r="I162" i="3" a="1"/>
  <c r="H162" i="3" a="1"/>
  <c r="G162" i="3" a="1"/>
  <c r="F162" i="3" a="1"/>
  <c r="E162" i="3" a="1"/>
  <c r="M161" i="3" a="1"/>
  <c r="J161" i="3" a="1"/>
  <c r="N161" i="3" a="1"/>
  <c r="K161" i="3" a="1"/>
  <c r="I161" i="3" a="1"/>
  <c r="L161" i="3" a="1"/>
  <c r="F161" i="3" a="1"/>
  <c r="G161" i="3" a="1"/>
  <c r="H161" i="3" a="1"/>
  <c r="E161" i="3" a="1"/>
  <c r="C138" i="3"/>
  <c r="I129" i="3" a="1"/>
  <c r="E129" i="3" a="1"/>
  <c r="F129" i="3" a="1"/>
  <c r="G129" i="3" a="1"/>
  <c r="H129" i="3" a="1"/>
  <c r="J129" i="3" a="1"/>
  <c r="K129" i="3" a="1"/>
  <c r="L129" i="3" a="1"/>
  <c r="M129" i="3" a="1"/>
  <c r="N129" i="3" a="1"/>
  <c r="G121" i="3" a="1"/>
  <c r="F121" i="3" a="1"/>
  <c r="E121" i="3" a="1"/>
  <c r="H121" i="3" a="1"/>
  <c r="I121" i="3" a="1"/>
  <c r="N121" i="3" a="1"/>
  <c r="M121" i="3" a="1"/>
  <c r="L121" i="3" a="1"/>
  <c r="K121" i="3" a="1"/>
  <c r="J121" i="3" a="1"/>
  <c r="M113" i="3" a="1"/>
  <c r="L113" i="3" a="1"/>
  <c r="J113" i="3" a="1"/>
  <c r="N113" i="3" a="1"/>
  <c r="K113" i="3" a="1"/>
  <c r="G113" i="3" a="1"/>
  <c r="H113" i="3" a="1"/>
  <c r="I113" i="3" a="1"/>
  <c r="F113" i="3" a="1"/>
  <c r="E113" i="3" a="1"/>
  <c r="I105" i="3" a="1"/>
  <c r="E105" i="3" a="1"/>
  <c r="F105" i="3" a="1"/>
  <c r="J105" i="3" a="1"/>
  <c r="G105" i="3" a="1"/>
  <c r="K105" i="3" a="1"/>
  <c r="H105" i="3" a="1"/>
  <c r="L105" i="3" a="1"/>
  <c r="N105" i="3" a="1"/>
  <c r="M105" i="3" a="1"/>
  <c r="N97" i="3" a="1"/>
  <c r="M97" i="3" a="1"/>
  <c r="L97" i="3" a="1"/>
  <c r="K97" i="3" a="1"/>
  <c r="J97" i="3" a="1"/>
  <c r="I97" i="3" a="1"/>
  <c r="H97" i="3" a="1"/>
  <c r="G97" i="3" a="1"/>
  <c r="F97" i="3" a="1"/>
  <c r="E97" i="3" a="1"/>
  <c r="C155" i="3"/>
  <c r="C147" i="3"/>
  <c r="C163" i="3"/>
  <c r="C171" i="3"/>
  <c r="C170" i="3"/>
  <c r="C130" i="3"/>
  <c r="C122" i="3"/>
  <c r="C114" i="3"/>
  <c r="C106" i="3"/>
  <c r="L138" i="3" l="1" a="1"/>
  <c r="M138" i="3" a="1"/>
  <c r="N138" i="3" a="1"/>
  <c r="I138" i="3" a="1"/>
  <c r="H138" i="3" a="1"/>
  <c r="G138" i="3" a="1"/>
  <c r="F138" i="3" a="1"/>
  <c r="E138" i="3" a="1"/>
  <c r="J138" i="3" a="1"/>
  <c r="K138" i="3" a="1"/>
  <c r="I155" i="3" a="1"/>
  <c r="F155" i="3" a="1"/>
  <c r="J155" i="3" a="1"/>
  <c r="L155" i="3" a="1"/>
  <c r="E155" i="3" a="1"/>
  <c r="H155" i="3" a="1"/>
  <c r="M155" i="3" a="1"/>
  <c r="N155" i="3" a="1"/>
  <c r="G155" i="3" a="1"/>
  <c r="K155" i="3" a="1"/>
  <c r="M147" i="3" a="1"/>
  <c r="L147" i="3" a="1"/>
  <c r="K147" i="3" a="1"/>
  <c r="J147" i="3" a="1"/>
  <c r="I147" i="3" a="1"/>
  <c r="H147" i="3" a="1"/>
  <c r="G147" i="3" a="1"/>
  <c r="F147" i="3" a="1"/>
  <c r="E147" i="3" a="1"/>
  <c r="N147" i="3" a="1"/>
  <c r="L163" i="3" a="1"/>
  <c r="E163" i="3" a="1"/>
  <c r="F163" i="3" a="1"/>
  <c r="G163" i="3" a="1"/>
  <c r="H163" i="3" a="1"/>
  <c r="I163" i="3" a="1"/>
  <c r="J163" i="3" a="1"/>
  <c r="K163" i="3" a="1"/>
  <c r="M163" i="3" a="1"/>
  <c r="N163" i="3" a="1"/>
  <c r="K171" i="3" a="1"/>
  <c r="J171" i="3" a="1"/>
  <c r="I171" i="3" a="1"/>
  <c r="H171" i="3" a="1"/>
  <c r="M171" i="3" a="1"/>
  <c r="G171" i="3" a="1"/>
  <c r="E171" i="3" a="1"/>
  <c r="L171" i="3" a="1"/>
  <c r="N171" i="3" a="1"/>
  <c r="F171" i="3" a="1"/>
  <c r="N170" i="3" a="1"/>
  <c r="L170" i="3" a="1"/>
  <c r="E170" i="3" a="1"/>
  <c r="I170" i="3" a="1"/>
  <c r="F170" i="3" a="1"/>
  <c r="K170" i="3" a="1"/>
  <c r="H170" i="3" a="1"/>
  <c r="G170" i="3" a="1"/>
  <c r="M170" i="3" a="1"/>
  <c r="J170" i="3" a="1"/>
  <c r="C139" i="3"/>
  <c r="F130" i="3" a="1"/>
  <c r="E130" i="3" a="1"/>
  <c r="I130" i="3" a="1"/>
  <c r="N130" i="3" a="1"/>
  <c r="M130" i="3" a="1"/>
  <c r="L130" i="3" a="1"/>
  <c r="K130" i="3" a="1"/>
  <c r="J130" i="3" a="1"/>
  <c r="H130" i="3" a="1"/>
  <c r="G130" i="3" a="1"/>
  <c r="K122" i="3" a="1"/>
  <c r="E122" i="3" a="1"/>
  <c r="H122" i="3" a="1"/>
  <c r="N122" i="3" a="1"/>
  <c r="F122" i="3" a="1"/>
  <c r="J122" i="3" a="1"/>
  <c r="G122" i="3" a="1"/>
  <c r="I122" i="3" a="1"/>
  <c r="L122" i="3" a="1"/>
  <c r="M122" i="3" a="1"/>
  <c r="K114" i="3" a="1"/>
  <c r="J114" i="3" a="1"/>
  <c r="I114" i="3" a="1"/>
  <c r="N114" i="3" a="1"/>
  <c r="F114" i="3" a="1"/>
  <c r="M114" i="3" a="1"/>
  <c r="L114" i="3" a="1"/>
  <c r="H114" i="3" a="1"/>
  <c r="G114" i="3" a="1"/>
  <c r="E114" i="3" a="1"/>
  <c r="E106" i="3" a="1"/>
  <c r="F106" i="3" a="1"/>
  <c r="G106" i="3" a="1"/>
  <c r="H106" i="3" a="1"/>
  <c r="I106" i="3" a="1"/>
  <c r="J106" i="3" a="1"/>
  <c r="K106" i="3" a="1"/>
  <c r="L106" i="3" a="1"/>
  <c r="M106" i="3" a="1"/>
  <c r="N106" i="3" a="1"/>
  <c r="C164" i="3"/>
  <c r="C156" i="3"/>
  <c r="C148" i="3"/>
  <c r="C172" i="3"/>
  <c r="C131" i="3"/>
  <c r="C123" i="3"/>
  <c r="C115" i="3"/>
  <c r="G139" i="3" l="1" a="1"/>
  <c r="F139" i="3" a="1"/>
  <c r="E139" i="3" a="1"/>
  <c r="M139" i="3" a="1"/>
  <c r="K139" i="3" a="1"/>
  <c r="J139" i="3" a="1"/>
  <c r="I139" i="3" a="1"/>
  <c r="N139" i="3" a="1"/>
  <c r="L139" i="3" a="1"/>
  <c r="H139" i="3" a="1"/>
  <c r="I164" i="3" a="1"/>
  <c r="M164" i="3" a="1"/>
  <c r="F164" i="3" a="1"/>
  <c r="E164" i="3" a="1"/>
  <c r="J164" i="3" a="1"/>
  <c r="H164" i="3" a="1"/>
  <c r="K164" i="3" a="1"/>
  <c r="G164" i="3" a="1"/>
  <c r="N164" i="3" a="1"/>
  <c r="L164" i="3" a="1"/>
  <c r="I156" i="3" a="1"/>
  <c r="H156" i="3" a="1"/>
  <c r="G156" i="3" a="1"/>
  <c r="J156" i="3" a="1"/>
  <c r="F156" i="3" a="1"/>
  <c r="E156" i="3" a="1"/>
  <c r="N156" i="3" a="1"/>
  <c r="K156" i="3" a="1"/>
  <c r="L156" i="3" a="1"/>
  <c r="M156" i="3" a="1"/>
  <c r="K148" i="3" a="1"/>
  <c r="J148" i="3" a="1"/>
  <c r="N148" i="3" a="1"/>
  <c r="H148" i="3" a="1"/>
  <c r="I148" i="3" a="1"/>
  <c r="M148" i="3" a="1"/>
  <c r="L148" i="3" a="1"/>
  <c r="G148" i="3" a="1"/>
  <c r="F148" i="3" a="1"/>
  <c r="E148" i="3" a="1"/>
  <c r="J172" i="3" a="1"/>
  <c r="M172" i="3" a="1"/>
  <c r="N172" i="3" a="1"/>
  <c r="K172" i="3" a="1"/>
  <c r="I172" i="3" a="1"/>
  <c r="L172" i="3" a="1"/>
  <c r="E172" i="3" a="1"/>
  <c r="F172" i="3" a="1"/>
  <c r="G172" i="3" a="1"/>
  <c r="H172" i="3" a="1"/>
  <c r="C140" i="3"/>
  <c r="N131" i="3" a="1"/>
  <c r="M131" i="3" a="1"/>
  <c r="L131" i="3" a="1"/>
  <c r="E131" i="3" a="1"/>
  <c r="F131" i="3" a="1"/>
  <c r="G131" i="3" a="1"/>
  <c r="K131" i="3" a="1"/>
  <c r="I131" i="3" a="1"/>
  <c r="J131" i="3" a="1"/>
  <c r="H131" i="3" a="1"/>
  <c r="K123" i="3" a="1"/>
  <c r="M123" i="3" a="1"/>
  <c r="N123" i="3" a="1"/>
  <c r="L123" i="3" a="1"/>
  <c r="J123" i="3" a="1"/>
  <c r="I123" i="3" a="1"/>
  <c r="H123" i="3" a="1"/>
  <c r="G123" i="3" a="1"/>
  <c r="F123" i="3" a="1"/>
  <c r="E123" i="3" a="1"/>
  <c r="I115" i="3" a="1"/>
  <c r="H115" i="3" a="1"/>
  <c r="G115" i="3" a="1"/>
  <c r="F115" i="3" a="1"/>
  <c r="E115" i="3" a="1"/>
  <c r="M115" i="3" a="1"/>
  <c r="L115" i="3" a="1"/>
  <c r="J115" i="3" a="1"/>
  <c r="K115" i="3" a="1"/>
  <c r="N115" i="3" a="1"/>
  <c r="C173" i="3"/>
  <c r="C165" i="3"/>
  <c r="C157" i="3"/>
  <c r="C149" i="3"/>
  <c r="C132" i="3"/>
  <c r="C124" i="3"/>
  <c r="N140" i="3" l="1" a="1"/>
  <c r="M140" i="3" a="1"/>
  <c r="K140" i="3" a="1"/>
  <c r="J140" i="3" a="1"/>
  <c r="I140" i="3" a="1"/>
  <c r="H140" i="3" a="1"/>
  <c r="G140" i="3" a="1"/>
  <c r="F140" i="3" a="1"/>
  <c r="E140" i="3" a="1"/>
  <c r="L140" i="3" a="1"/>
  <c r="K173" i="3" a="1"/>
  <c r="L173" i="3" a="1"/>
  <c r="F173" i="3" a="1"/>
  <c r="H173" i="3" a="1"/>
  <c r="I173" i="3" a="1"/>
  <c r="E173" i="3" a="1"/>
  <c r="M173" i="3" a="1"/>
  <c r="N173" i="3" a="1"/>
  <c r="J173" i="3" a="1"/>
  <c r="G173" i="3" a="1"/>
  <c r="H165" i="3" a="1"/>
  <c r="L165" i="3" a="1"/>
  <c r="K165" i="3" a="1"/>
  <c r="J165" i="3" a="1"/>
  <c r="I165" i="3" a="1"/>
  <c r="G165" i="3" a="1"/>
  <c r="F165" i="3" a="1"/>
  <c r="E165" i="3" a="1"/>
  <c r="M165" i="3" a="1"/>
  <c r="N165" i="3" a="1"/>
  <c r="J157" i="3" a="1"/>
  <c r="I157" i="3" a="1"/>
  <c r="H157" i="3" a="1"/>
  <c r="G157" i="3" a="1"/>
  <c r="F157" i="3" a="1"/>
  <c r="E157" i="3" a="1"/>
  <c r="N157" i="3" a="1"/>
  <c r="M157" i="3" a="1"/>
  <c r="L157" i="3" a="1"/>
  <c r="K157" i="3" a="1"/>
  <c r="I149" i="3" a="1"/>
  <c r="E149" i="3" a="1"/>
  <c r="N149" i="3" a="1"/>
  <c r="J149" i="3" a="1"/>
  <c r="L149" i="3" a="1"/>
  <c r="K149" i="3" a="1"/>
  <c r="M149" i="3" a="1"/>
  <c r="G149" i="3" a="1"/>
  <c r="F149" i="3" a="1"/>
  <c r="H149" i="3" a="1"/>
  <c r="C141" i="3"/>
  <c r="N132" i="3" a="1"/>
  <c r="M132" i="3" a="1"/>
  <c r="L132" i="3" a="1"/>
  <c r="K132" i="3" a="1"/>
  <c r="J132" i="3" a="1"/>
  <c r="I132" i="3" a="1"/>
  <c r="H132" i="3" a="1"/>
  <c r="G132" i="3" a="1"/>
  <c r="F132" i="3" a="1"/>
  <c r="E132" i="3" a="1"/>
  <c r="N124" i="3" a="1"/>
  <c r="M124" i="3" a="1"/>
  <c r="L124" i="3" a="1"/>
  <c r="K124" i="3" a="1"/>
  <c r="J124" i="3" a="1"/>
  <c r="I124" i="3" a="1"/>
  <c r="H124" i="3" a="1"/>
  <c r="G124" i="3" a="1"/>
  <c r="F124" i="3" a="1"/>
  <c r="E124" i="3" a="1"/>
  <c r="C174" i="3"/>
  <c r="C166" i="3"/>
  <c r="C175" i="3" s="1"/>
  <c r="C158" i="3"/>
  <c r="C150" i="3"/>
  <c r="C133" i="3"/>
  <c r="N175" i="3" l="1" a="1"/>
  <c r="M175" i="3" a="1"/>
  <c r="L175" i="3" a="1"/>
  <c r="K175" i="3" a="1"/>
  <c r="J175" i="3" a="1"/>
  <c r="I175" i="3" a="1"/>
  <c r="H175" i="3" a="1"/>
  <c r="G175" i="3" a="1"/>
  <c r="F175" i="3" a="1"/>
  <c r="E175" i="3" a="1"/>
  <c r="I141" i="3" a="1"/>
  <c r="H141" i="3" a="1"/>
  <c r="G141" i="3" a="1"/>
  <c r="F141" i="3" a="1"/>
  <c r="E141" i="3" a="1"/>
  <c r="N141" i="3" a="1"/>
  <c r="M141" i="3" a="1"/>
  <c r="L141" i="3" a="1"/>
  <c r="K141" i="3" a="1"/>
  <c r="J141" i="3" a="1"/>
  <c r="G174" i="3" a="1"/>
  <c r="N174" i="3" a="1"/>
  <c r="M174" i="3" a="1"/>
  <c r="L174" i="3" a="1"/>
  <c r="K174" i="3" a="1"/>
  <c r="J174" i="3" a="1"/>
  <c r="I174" i="3" a="1"/>
  <c r="H174" i="3" a="1"/>
  <c r="F174" i="3" a="1"/>
  <c r="E174" i="3" a="1"/>
  <c r="N166" i="3" a="1"/>
  <c r="M166" i="3" a="1"/>
  <c r="L166" i="3" a="1"/>
  <c r="K166" i="3" a="1"/>
  <c r="I166" i="3" a="1"/>
  <c r="H166" i="3" a="1"/>
  <c r="G166" i="3" a="1"/>
  <c r="J166" i="3" a="1"/>
  <c r="F166" i="3" a="1"/>
  <c r="E166" i="3" a="1"/>
  <c r="H158" i="3" a="1"/>
  <c r="I158" i="3" a="1"/>
  <c r="J158" i="3" a="1"/>
  <c r="K158" i="3" a="1"/>
  <c r="L158" i="3" a="1"/>
  <c r="M158" i="3" a="1"/>
  <c r="E158" i="3" a="1"/>
  <c r="F158" i="3" a="1"/>
  <c r="N158" i="3" a="1"/>
  <c r="G158" i="3" a="1"/>
  <c r="I150" i="3" a="1"/>
  <c r="J150" i="3" a="1"/>
  <c r="K150" i="3" a="1"/>
  <c r="L150" i="3" a="1"/>
  <c r="G150" i="3" a="1"/>
  <c r="H150" i="3" a="1"/>
  <c r="E150" i="3" a="1"/>
  <c r="F150" i="3" a="1"/>
  <c r="M150" i="3" a="1"/>
  <c r="N150" i="3" a="1"/>
  <c r="C142" i="3"/>
  <c r="N133" i="3" a="1"/>
  <c r="L133" i="3" a="1"/>
  <c r="M133" i="3" a="1"/>
  <c r="I133" i="3" a="1"/>
  <c r="H133" i="3" a="1"/>
  <c r="G133" i="3" a="1"/>
  <c r="F133" i="3" a="1"/>
  <c r="E133" i="3" a="1"/>
  <c r="K133" i="3" a="1"/>
  <c r="J133" i="3" a="1"/>
  <c r="C167" i="3"/>
  <c r="C176" i="3" s="1"/>
  <c r="C159" i="3"/>
  <c r="C151" i="3"/>
  <c r="N176" i="3" l="1" a="1"/>
  <c r="M176" i="3" a="1"/>
  <c r="L176" i="3" a="1"/>
  <c r="K176" i="3" a="1"/>
  <c r="J176" i="3" a="1"/>
  <c r="H176" i="3" a="1"/>
  <c r="G176" i="3" a="1"/>
  <c r="F176" i="3" a="1"/>
  <c r="E176" i="3" a="1"/>
  <c r="I176" i="3" a="1"/>
  <c r="E142" i="3" a="1"/>
  <c r="F142" i="3" a="1"/>
  <c r="G142" i="3" a="1"/>
  <c r="H142" i="3" a="1"/>
  <c r="J142" i="3" a="1"/>
  <c r="K142" i="3" a="1"/>
  <c r="L142" i="3" a="1"/>
  <c r="M142" i="3" a="1"/>
  <c r="N142" i="3" a="1"/>
  <c r="I142" i="3" a="1"/>
  <c r="N167" i="3" a="1"/>
  <c r="I167" i="3" a="1"/>
  <c r="F167" i="3" a="1"/>
  <c r="H167" i="3" a="1"/>
  <c r="M167" i="3" a="1"/>
  <c r="K167" i="3" a="1"/>
  <c r="G167" i="3" a="1"/>
  <c r="L167" i="3" a="1"/>
  <c r="J167" i="3" a="1"/>
  <c r="E167" i="3" a="1"/>
  <c r="N159" i="3" a="1"/>
  <c r="J159" i="3" a="1"/>
  <c r="K159" i="3" a="1"/>
  <c r="L159" i="3" a="1"/>
  <c r="M159" i="3" a="1"/>
  <c r="E159" i="3" a="1"/>
  <c r="F159" i="3" a="1"/>
  <c r="G159" i="3" a="1"/>
  <c r="H159" i="3" a="1"/>
  <c r="I159" i="3" a="1"/>
  <c r="G151" i="3" a="1"/>
  <c r="F151" i="3" a="1"/>
  <c r="E151" i="3" a="1"/>
  <c r="J151" i="3" a="1"/>
  <c r="I151" i="3" a="1"/>
  <c r="H151" i="3" a="1"/>
  <c r="N151" i="3" a="1"/>
  <c r="M151" i="3" a="1"/>
  <c r="L151" i="3" a="1"/>
  <c r="K151" i="3" a="1"/>
  <c r="C168" i="3"/>
  <c r="C177" i="3" s="1"/>
  <c r="C160" i="3"/>
  <c r="N177" i="3" l="1" a="1"/>
  <c r="M177" i="3" a="1"/>
  <c r="L177" i="3" a="1"/>
  <c r="K177" i="3" a="1"/>
  <c r="J177" i="3" a="1"/>
  <c r="I177" i="3" a="1"/>
  <c r="H177" i="3" a="1"/>
  <c r="G177" i="3" a="1"/>
  <c r="F177" i="3" a="1"/>
  <c r="E177" i="3" a="1"/>
  <c r="E168" i="3" a="1"/>
  <c r="F168" i="3" a="1"/>
  <c r="G168" i="3" a="1"/>
  <c r="H168" i="3" a="1"/>
  <c r="I168" i="3" a="1"/>
  <c r="J168" i="3" a="1"/>
  <c r="K168" i="3" a="1"/>
  <c r="L168" i="3" a="1"/>
  <c r="M168" i="3" a="1"/>
  <c r="N168" i="3" a="1"/>
  <c r="G160" i="3" a="1"/>
  <c r="M160" i="3" a="1"/>
  <c r="J160" i="3" a="1"/>
  <c r="N160" i="3" a="1"/>
  <c r="E160" i="3" a="1"/>
  <c r="F160" i="3" a="1"/>
  <c r="H160" i="3" a="1"/>
  <c r="I160" i="3" a="1"/>
  <c r="L160" i="3" a="1"/>
  <c r="K160" i="3" a="1"/>
  <c r="C169" i="3"/>
  <c r="C178" i="3" s="1"/>
  <c r="N178" i="3" l="1" a="1"/>
  <c r="M178" i="3" a="1"/>
  <c r="L178" i="3" a="1"/>
  <c r="K178" i="3" a="1"/>
  <c r="J178" i="3" a="1"/>
  <c r="I178" i="3" a="1"/>
  <c r="H178" i="3" a="1"/>
  <c r="G178" i="3" a="1"/>
  <c r="F178" i="3" a="1"/>
  <c r="E178" i="3" a="1"/>
  <c r="N169" i="3" a="1"/>
  <c r="M169" i="3" a="1"/>
  <c r="L169" i="3" a="1"/>
  <c r="E169" i="3" a="1"/>
  <c r="F169" i="3" a="1"/>
  <c r="G169" i="3" a="1"/>
  <c r="H169" i="3" a="1"/>
  <c r="I169" i="3" a="1"/>
  <c r="J169" i="3" a="1"/>
  <c r="K169" i="3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<sst xmlns="http://schemas.openxmlformats.org/spreadsheetml/2006/main" count="156" uniqueCount="123">
  <si>
    <t>Depth (D):</t>
  </si>
  <si>
    <t>Tubing inner diameter (dti):</t>
  </si>
  <si>
    <t>Oil gravity (API):</t>
  </si>
  <si>
    <t>Production GLR (GLR):</t>
  </si>
  <si>
    <t>Gas specific gravity (gg):</t>
  </si>
  <si>
    <t>Flowing tubing head pressure (phf):</t>
  </si>
  <si>
    <t>Flowing tubing head temperature (thf):</t>
  </si>
  <si>
    <t>Flowing temperature at tubing shoe (twf):</t>
  </si>
  <si>
    <t>Liquid production rate (qL):</t>
  </si>
  <si>
    <t>Water cut (WC):</t>
  </si>
  <si>
    <t>Interfacial tension (s):</t>
  </si>
  <si>
    <t>Specific gravity of water (gw):</t>
  </si>
  <si>
    <t>HagedornBrown(double totalMD,double tubingID,double oilPb,double Rsi,double sGOil,double sGGas,double sGWater,double interfacialTension,double flowingTubingHeadPressure,double flowingTubingHeadTemperature,double flowingBHTemperature,double qLiquid,double qWater,double qGas,int numberOfElements = 100)</t>
  </si>
  <si>
    <t>Gas Rate</t>
  </si>
  <si>
    <t>Oil Pbp</t>
  </si>
  <si>
    <t>Rsi</t>
  </si>
  <si>
    <t>LHOLDUP</t>
  </si>
  <si>
    <t>Water Rate</t>
  </si>
  <si>
    <t>bbl/day</t>
  </si>
  <si>
    <t>psia</t>
  </si>
  <si>
    <t>Pbh_static</t>
  </si>
  <si>
    <t>Depth ft</t>
  </si>
  <si>
    <t>USL ft/s</t>
  </si>
  <si>
    <t>USG ft/s</t>
  </si>
  <si>
    <t>Zwh</t>
  </si>
  <si>
    <t>=HagedornBrown(B2,B3,B16,B15,D4,B6,B18,B17,B7,B8,B9,B10,B13,B14,100)</t>
  </si>
  <si>
    <t>P psi</t>
  </si>
  <si>
    <t>T °F</t>
  </si>
  <si>
    <t>Gas DENSITY LB/FT^3</t>
  </si>
  <si>
    <t>ft</t>
  </si>
  <si>
    <t>in.</t>
  </si>
  <si>
    <t>air =1</t>
  </si>
  <si>
    <t>scf/bbl</t>
  </si>
  <si>
    <t>stb/day</t>
  </si>
  <si>
    <t>°API</t>
  </si>
  <si>
    <t>°F</t>
  </si>
  <si>
    <t>scf/day</t>
  </si>
  <si>
    <t>%</t>
  </si>
  <si>
    <t>dynes/cm</t>
  </si>
  <si>
    <t>H2O=1</t>
  </si>
  <si>
    <t>#Nodes</t>
  </si>
  <si>
    <t>#</t>
  </si>
  <si>
    <t>Ql</t>
  </si>
  <si>
    <t>GVF</t>
  </si>
  <si>
    <t>P</t>
  </si>
  <si>
    <t>T</t>
  </si>
  <si>
    <t>SG Gas</t>
  </si>
  <si>
    <t>Qg</t>
  </si>
  <si>
    <t>GLR</t>
  </si>
  <si>
    <t>Pressure</t>
  </si>
  <si>
    <t>ug_min</t>
  </si>
  <si>
    <t>sGGas</t>
  </si>
  <si>
    <t>°R</t>
  </si>
  <si>
    <t>temperature</t>
  </si>
  <si>
    <t>ID</t>
  </si>
  <si>
    <t>area ft^2</t>
  </si>
  <si>
    <t>qg[scf]</t>
  </si>
  <si>
    <t>psig</t>
  </si>
  <si>
    <t>z</t>
  </si>
  <si>
    <t>Nre</t>
  </si>
  <si>
    <t>f</t>
  </si>
  <si>
    <t>qt[MMscf/day]</t>
  </si>
  <si>
    <t>Zbh</t>
  </si>
  <si>
    <t>Vt [ft/s]</t>
  </si>
  <si>
    <t>Norm(Vg/Vt)</t>
  </si>
  <si>
    <t>Perforations</t>
  </si>
  <si>
    <t>C=</t>
  </si>
  <si>
    <t>D[ft]</t>
  </si>
  <si>
    <t>qT</t>
  </si>
  <si>
    <t>ft^3/min</t>
  </si>
  <si>
    <t>bbl/min</t>
  </si>
  <si>
    <t>Q1</t>
  </si>
  <si>
    <t>Q12</t>
  </si>
  <si>
    <t>Q2</t>
  </si>
  <si>
    <t>Q23</t>
  </si>
  <si>
    <t>Q3</t>
  </si>
  <si>
    <t>Q4</t>
  </si>
  <si>
    <t>P1</t>
  </si>
  <si>
    <t>P2</t>
  </si>
  <si>
    <t>P3</t>
  </si>
  <si>
    <t>P4</t>
  </si>
  <si>
    <t>y</t>
  </si>
  <si>
    <t>x</t>
  </si>
  <si>
    <t>rhoL=</t>
  </si>
  <si>
    <t>lbm/ft^3</t>
  </si>
  <si>
    <t>A[ft^2]</t>
  </si>
  <si>
    <t>qInit[ft^3/min]</t>
  </si>
  <si>
    <t>Sqrt(rho/A)[(ft/min)^0.5]</t>
  </si>
  <si>
    <t>Pipe Segments</t>
  </si>
  <si>
    <t>L[ft]</t>
  </si>
  <si>
    <t>D[in]</t>
  </si>
  <si>
    <t>lbm/gal</t>
  </si>
  <si>
    <t>dPp[lbf/in^2]</t>
  </si>
  <si>
    <t>muL=</t>
  </si>
  <si>
    <t>cP</t>
  </si>
  <si>
    <t>lbf*s/ft^2</t>
  </si>
  <si>
    <t>0-1</t>
  </si>
  <si>
    <t>1-2</t>
  </si>
  <si>
    <t>2-3</t>
  </si>
  <si>
    <t>3-4</t>
  </si>
  <si>
    <t>Formation</t>
  </si>
  <si>
    <t>FracP</t>
  </si>
  <si>
    <t>=MMULT(MINVERSE(B27:K37), O27:O37)</t>
  </si>
  <si>
    <t>Missing IPR</t>
  </si>
  <si>
    <t>P wolfcamp=</t>
  </si>
  <si>
    <t>sigma</t>
  </si>
  <si>
    <t>rho_L=</t>
  </si>
  <si>
    <t>Ql[bbld]</t>
  </si>
  <si>
    <t>GLR, 1.25</t>
  </si>
  <si>
    <t>GLR, 1.5</t>
  </si>
  <si>
    <t>GLR, 1.75</t>
  </si>
  <si>
    <t>GLR, 1.9</t>
  </si>
  <si>
    <t>GLR, 2.375</t>
  </si>
  <si>
    <t>GLR, 2.875</t>
  </si>
  <si>
    <t>GLR, 3.5</t>
  </si>
  <si>
    <t>GLR, 4.5</t>
  </si>
  <si>
    <t>GLR, 5.5</t>
  </si>
  <si>
    <t>GLR, 7</t>
  </si>
  <si>
    <t>Tubing Dia.</t>
  </si>
  <si>
    <t>2-3/8" @ 100 psig</t>
  </si>
  <si>
    <t>QL=</t>
  </si>
  <si>
    <t xml:space="preserve"> </t>
  </si>
  <si>
    <t>coeff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</si>
</sst>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000"/>
    <numFmt numFmtId="166" formatCode="0.0%"/>
    <numFmt numFmtId="167" formatCode="0.00000"/>
    <numFmt numFmtId="168" formatCode="0.000000"/>
    <numFmt numFmtId="169" formatCode="0.000"/>
    <numFmt numFmtId="172" formatCode="0.0"/>
  </numFmts>
  <fonts count="5" x14ac:knownFonts="1">
    <font>
      <sz val="12"/>
      <color theme="1"/>
      <name val="Cascadia Code"/>
      <family val="2"/>
    </font>
    <font>
      <sz val="12"/>
      <color theme="1"/>
      <name val="Cascadia Code"/>
      <family val="2"/>
    </font>
    <font>
      <u/>
      <sz val="12"/>
      <color theme="1"/>
      <name val="Cascadia Code"/>
      <family val="2"/>
    </font>
    <font>
      <b/>
      <sz val="12"/>
      <color theme="1"/>
      <name val="Cascadia Code"/>
      <family val="3"/>
    </font>
    <font>
      <b/>
      <sz val="12"/>
      <color theme="0"/>
      <name val="Cascadia Code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0" fillId="0" borderId="0" xfId="0" quotePrefix="1"/>
    <xf numFmtId="0" fontId="0" fillId="0" borderId="0" xfId="0" applyAlignment="1">
      <alignment vertical="top" wrapText="1"/>
    </xf>
    <xf numFmtId="1" fontId="0" fillId="0" borderId="0" xfId="0" applyNumberFormat="1"/>
    <xf numFmtId="166" fontId="0" fillId="0" borderId="0" xfId="1" applyNumberFormat="1" applyFont="1"/>
    <xf numFmtId="10" fontId="0" fillId="0" borderId="0" xfId="1" applyNumberFormat="1" applyFont="1"/>
    <xf numFmtId="9" fontId="0" fillId="0" borderId="0" xfId="1" applyFont="1"/>
    <xf numFmtId="12" fontId="0" fillId="0" borderId="0" xfId="0" applyNumberFormat="1"/>
    <xf numFmtId="3" fontId="0" fillId="0" borderId="0" xfId="0" applyNumberFormat="1"/>
    <xf numFmtId="3" fontId="0" fillId="0" borderId="0" xfId="0" quotePrefix="1" applyNumberFormat="1"/>
    <xf numFmtId="167" fontId="0" fillId="0" borderId="0" xfId="0" applyNumberFormat="1"/>
    <xf numFmtId="2" fontId="0" fillId="0" borderId="1" xfId="0" applyNumberFormat="1" applyBorder="1"/>
    <xf numFmtId="2" fontId="0" fillId="0" borderId="1" xfId="0" quotePrefix="1" applyNumberFormat="1" applyBorder="1"/>
    <xf numFmtId="2" fontId="0" fillId="0" borderId="0" xfId="0" applyNumberFormat="1" applyAlignment="1">
      <alignment horizontal="right"/>
    </xf>
    <xf numFmtId="2" fontId="0" fillId="0" borderId="0" xfId="0" applyNumberFormat="1" applyAlignment="1">
      <alignment horizontal="center"/>
    </xf>
    <xf numFmtId="2" fontId="2" fillId="0" borderId="0" xfId="0" applyNumberFormat="1" applyFont="1"/>
    <xf numFmtId="1" fontId="0" fillId="2" borderId="1" xfId="0" applyNumberFormat="1" applyFill="1" applyBorder="1"/>
    <xf numFmtId="1" fontId="0" fillId="3" borderId="1" xfId="0" applyNumberFormat="1" applyFill="1" applyBorder="1"/>
    <xf numFmtId="1" fontId="0" fillId="4" borderId="1" xfId="0" applyNumberFormat="1" applyFill="1" applyBorder="1"/>
    <xf numFmtId="2" fontId="3" fillId="2" borderId="1" xfId="0" applyNumberFormat="1" applyFont="1" applyFill="1" applyBorder="1"/>
    <xf numFmtId="2" fontId="3" fillId="3" borderId="1" xfId="0" applyNumberFormat="1" applyFont="1" applyFill="1" applyBorder="1"/>
    <xf numFmtId="2" fontId="3" fillId="4" borderId="1" xfId="0" applyNumberFormat="1" applyFont="1" applyFill="1" applyBorder="1"/>
    <xf numFmtId="1" fontId="3" fillId="3" borderId="1" xfId="0" applyNumberFormat="1" applyFont="1" applyFill="1" applyBorder="1"/>
    <xf numFmtId="1" fontId="3" fillId="4" borderId="1" xfId="0" applyNumberFormat="1" applyFont="1" applyFill="1" applyBorder="1"/>
    <xf numFmtId="1" fontId="0" fillId="0" borderId="1" xfId="0" applyNumberFormat="1" applyBorder="1"/>
    <xf numFmtId="168" fontId="0" fillId="0" borderId="0" xfId="0" applyNumberFormat="1"/>
    <xf numFmtId="2" fontId="0" fillId="0" borderId="0" xfId="0" quotePrefix="1" applyNumberFormat="1"/>
    <xf numFmtId="3" fontId="0" fillId="0" borderId="0" xfId="0" quotePrefix="1" applyNumberFormat="1" applyAlignment="1">
      <alignment horizontal="center"/>
    </xf>
    <xf numFmtId="3" fontId="0" fillId="0" borderId="0" xfId="0" quotePrefix="1" applyNumberFormat="1" applyAlignment="1">
      <alignment horizontal="right"/>
    </xf>
    <xf numFmtId="3" fontId="0" fillId="0" borderId="0" xfId="0" applyNumberFormat="1" applyAlignment="1">
      <alignment horizontal="center"/>
    </xf>
    <xf numFmtId="2" fontId="4" fillId="5" borderId="2" xfId="0" applyNumberFormat="1" applyFont="1" applyFill="1" applyBorder="1"/>
    <xf numFmtId="3" fontId="0" fillId="6" borderId="0" xfId="0" applyNumberFormat="1" applyFill="1"/>
    <xf numFmtId="169" fontId="0" fillId="0" borderId="0" xfId="0" applyNumberFormat="1"/>
    <xf numFmtId="172" fontId="0" fillId="0" borderId="0" xfId="0" applyNumberFormat="1"/>
  </cellXfs>
  <cellStyles count="2">
    <cellStyle name="Normal" xfId="0" builtinId="0"/>
    <cellStyle name="Percent" xfId="1" builtinId="5"/>
  </cellStyles>
  <dxfs count="13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HagedornBrown!$K$24:$K$123</c:f>
              <c:numCache>
                <c:formatCode>0.00</c:formatCode>
                <c:ptCount val="100"/>
                <c:pt idx="0">
                  <c:v>1.5645063901768923E-3</c:v>
                </c:pt>
                <c:pt idx="1">
                  <c:v>1.6036000071485042E-3</c:v>
                </c:pt>
                <c:pt idx="2">
                  <c:v>1.5648056299844176E-3</c:v>
                </c:pt>
                <c:pt idx="3">
                  <c:v>1.5287229700788724E-3</c:v>
                </c:pt>
                <c:pt idx="4">
                  <c:v>1.4950681786547932E-3</c:v>
                </c:pt>
                <c:pt idx="5">
                  <c:v>1.4635984495141086E-3</c:v>
                </c:pt>
                <c:pt idx="6">
                  <c:v>1.4341046898663137E-3</c:v>
                </c:pt>
                <c:pt idx="7">
                  <c:v>1.4064057159938435E-3</c:v>
                </c:pt>
                <c:pt idx="8">
                  <c:v>1.3803436083113939E-3</c:v>
                </c:pt>
                <c:pt idx="9">
                  <c:v>1.3557799657124422E-3</c:v>
                </c:pt>
                <c:pt idx="10">
                  <c:v>1.3325928600198844E-3</c:v>
                </c:pt>
                <c:pt idx="11">
                  <c:v>1.3106743420400087E-3</c:v>
                </c:pt>
                <c:pt idx="12">
                  <c:v>1.2899283858870138E-3</c:v>
                </c:pt>
                <c:pt idx="13">
                  <c:v>1.2702691844348462E-3</c:v>
                </c:pt>
                <c:pt idx="14">
                  <c:v>1.2516197282784667E-3</c:v>
                </c:pt>
                <c:pt idx="15">
                  <c:v>1.2339106152772015E-3</c:v>
                </c:pt>
                <c:pt idx="16">
                  <c:v>1.2170790489001387E-3</c:v>
                </c:pt>
                <c:pt idx="17">
                  <c:v>1.2010679921207888E-3</c:v>
                </c:pt>
                <c:pt idx="18">
                  <c:v>1.1858254501819227E-3</c:v>
                </c:pt>
                <c:pt idx="19">
                  <c:v>1.1713038606580293E-3</c:v>
                </c:pt>
                <c:pt idx="20">
                  <c:v>1.1574595732403437E-3</c:v>
                </c:pt>
                <c:pt idx="21">
                  <c:v>1.144252404823429E-3</c:v>
                </c:pt>
                <c:pt idx="22">
                  <c:v>1.1316452579815852E-3</c:v>
                </c:pt>
                <c:pt idx="23">
                  <c:v>1.119603792936622E-3</c:v>
                </c:pt>
                <c:pt idx="24">
                  <c:v>1.1080961447484322E-3</c:v>
                </c:pt>
                <c:pt idx="25">
                  <c:v>1.0970926787910234E-3</c:v>
                </c:pt>
                <c:pt idx="26">
                  <c:v>1.0865657786735142E-3</c:v>
                </c:pt>
                <c:pt idx="27">
                  <c:v>1.076489661676948E-3</c:v>
                </c:pt>
                <c:pt idx="28">
                  <c:v>1.0668402175405282E-3</c:v>
                </c:pt>
                <c:pt idx="29">
                  <c:v>1.0575948670732754E-3</c:v>
                </c:pt>
                <c:pt idx="30">
                  <c:v>1.0487324376109357E-3</c:v>
                </c:pt>
                <c:pt idx="31">
                  <c:v>1.0402330527997854E-3</c:v>
                </c:pt>
                <c:pt idx="32">
                  <c:v>1.0320780345820372E-3</c:v>
                </c:pt>
                <c:pt idx="33">
                  <c:v>1.024249815592234E-3</c:v>
                </c:pt>
                <c:pt idx="34">
                  <c:v>1.0167318604587733E-3</c:v>
                </c:pt>
                <c:pt idx="35">
                  <c:v>1.0095085947466006E-3</c:v>
                </c:pt>
                <c:pt idx="36">
                  <c:v>1.0025653404819573E-3</c:v>
                </c:pt>
                <c:pt idx="37">
                  <c:v>9.9588825737302448E-4</c:v>
                </c:pt>
                <c:pt idx="38">
                  <c:v>9.8946428898573271E-4</c:v>
                </c:pt>
                <c:pt idx="39">
                  <c:v>9.8328111325575668E-4</c:v>
                </c:pt>
                <c:pt idx="40">
                  <c:v>9.7732709681922587E-4</c:v>
                </c:pt>
                <c:pt idx="41">
                  <c:v>9.7159125272891793E-4</c:v>
                </c:pt>
                <c:pt idx="42">
                  <c:v>9.6606040145787652E-4</c:v>
                </c:pt>
                <c:pt idx="43">
                  <c:v>9.6073004056183061E-4</c:v>
                </c:pt>
                <c:pt idx="44">
                  <c:v>9.5559096231221036E-4</c:v>
                </c:pt>
                <c:pt idx="45">
                  <c:v>9.5063406042774279E-4</c:v>
                </c:pt>
                <c:pt idx="46">
                  <c:v>9.4585073416837164E-4</c:v>
                </c:pt>
                <c:pt idx="47">
                  <c:v>9.412328579152992E-4</c:v>
                </c:pt>
                <c:pt idx="48">
                  <c:v>9.3677275266725079E-4</c:v>
                </c:pt>
                <c:pt idx="49">
                  <c:v>9.3246315931829393E-4</c:v>
                </c:pt>
                <c:pt idx="50">
                  <c:v>9.2829721359640664E-4</c:v>
                </c:pt>
                <c:pt idx="51">
                  <c:v>9.2426842255344428E-4</c:v>
                </c:pt>
                <c:pt idx="52">
                  <c:v>9.203706425067248E-4</c:v>
                </c:pt>
                <c:pt idx="53">
                  <c:v>9.1659805834052037E-4</c:v>
                </c:pt>
                <c:pt idx="54">
                  <c:v>9.1294516408266648E-4</c:v>
                </c:pt>
                <c:pt idx="55">
                  <c:v>9.0940674467746843E-4</c:v>
                </c:pt>
                <c:pt idx="56">
                  <c:v>9.0597785888139751E-4</c:v>
                </c:pt>
                <c:pt idx="57">
                  <c:v>9.0265382321273149E-4</c:v>
                </c:pt>
                <c:pt idx="58">
                  <c:v>8.9943019689058673E-4</c:v>
                </c:pt>
                <c:pt idx="59">
                  <c:v>8.9630276770265272E-4</c:v>
                </c:pt>
                <c:pt idx="60">
                  <c:v>8.9326753874455385E-4</c:v>
                </c:pt>
                <c:pt idx="61">
                  <c:v>8.9032071597709261E-4</c:v>
                </c:pt>
                <c:pt idx="62">
                  <c:v>8.8745869657291712E-4</c:v>
                </c:pt>
                <c:pt idx="63">
                  <c:v>8.8467805782229672E-4</c:v>
                </c:pt>
                <c:pt idx="64">
                  <c:v>8.8197554719596227E-4</c:v>
                </c:pt>
                <c:pt idx="65">
                  <c:v>8.7934807226914527E-4</c:v>
                </c:pt>
                <c:pt idx="66">
                  <c:v>8.7679269193349893E-4</c:v>
                </c:pt>
                <c:pt idx="67">
                  <c:v>8.7430660782849721E-4</c:v>
                </c:pt>
                <c:pt idx="68">
                  <c:v>8.7188715636174322E-4</c:v>
                </c:pt>
                <c:pt idx="69">
                  <c:v>8.6953180121666365E-4</c:v>
                </c:pt>
                <c:pt idx="70">
                  <c:v>8.6723812631667098E-4</c:v>
                </c:pt>
                <c:pt idx="71">
                  <c:v>8.6500382921677233E-4</c:v>
                </c:pt>
                <c:pt idx="72">
                  <c:v>8.6282671489541004E-4</c:v>
                </c:pt>
                <c:pt idx="73">
                  <c:v>8.6070468992105692E-4</c:v>
                </c:pt>
                <c:pt idx="74">
                  <c:v>8.5863575696966832E-4</c:v>
                </c:pt>
                <c:pt idx="75">
                  <c:v>8.5661800967064088E-4</c:v>
                </c:pt>
                <c:pt idx="76">
                  <c:v>8.5464962776035148E-4</c:v>
                </c:pt>
                <c:pt idx="77">
                  <c:v>8.5272887252370506E-4</c:v>
                </c:pt>
                <c:pt idx="78">
                  <c:v>8.5085408250536545E-4</c:v>
                </c:pt>
                <c:pt idx="79">
                  <c:v>8.4902366947356238E-4</c:v>
                </c:pt>
                <c:pt idx="80">
                  <c:v>8.4723611462046169E-4</c:v>
                </c:pt>
                <c:pt idx="81">
                  <c:v>8.4548996498414299E-4</c:v>
                </c:pt>
                <c:pt idx="82">
                  <c:v>8.4378383007819528E-4</c:v>
                </c:pt>
                <c:pt idx="83">
                  <c:v>8.4211637871587719E-4</c:v>
                </c:pt>
                <c:pt idx="84">
                  <c:v>8.4048633601662955E-4</c:v>
                </c:pt>
                <c:pt idx="85">
                  <c:v>8.3889248058353449E-4</c:v>
                </c:pt>
                <c:pt idx="86">
                  <c:v>8.3733364184106511E-4</c:v>
                </c:pt>
                <c:pt idx="87">
                  <c:v>8.3580869752318001E-4</c:v>
                </c:pt>
                <c:pt idx="88">
                  <c:v>8.3431657130244447E-4</c:v>
                </c:pt>
                <c:pt idx="89">
                  <c:v>8.3285623055149845E-4</c:v>
                </c:pt>
                <c:pt idx="90">
                  <c:v>8.3142668422874454E-4</c:v>
                </c:pt>
                <c:pt idx="91">
                  <c:v>8.3002698088066248E-4</c:v>
                </c:pt>
                <c:pt idx="92">
                  <c:v>8.2865620675366019E-4</c:v>
                </c:pt>
                <c:pt idx="93">
                  <c:v>8.2731348400881749E-4</c:v>
                </c:pt>
                <c:pt idx="94">
                  <c:v>8.2599796903333076E-4</c:v>
                </c:pt>
                <c:pt idx="95">
                  <c:v>8.2470885080325386E-4</c:v>
                </c:pt>
                <c:pt idx="96">
                  <c:v>8.2344534958100489E-4</c:v>
                </c:pt>
                <c:pt idx="97">
                  <c:v>8.2220671504830607E-4</c:v>
                </c:pt>
                <c:pt idx="98">
                  <c:v>8.2099222539715004E-4</c:v>
                </c:pt>
                <c:pt idx="99">
                  <c:v>8.1980118581676941E-4</c:v>
                </c:pt>
              </c:numCache>
            </c:numRef>
          </c:xVal>
          <c:yVal>
            <c:numRef>
              <c:f>HagedornBrown!$F$24:$F$123</c:f>
              <c:numCache>
                <c:formatCode>0.00</c:formatCode>
                <c:ptCount val="100"/>
                <c:pt idx="0">
                  <c:v>0.92206679176749995</c:v>
                </c:pt>
                <c:pt idx="1">
                  <c:v>0.92206679176749995</c:v>
                </c:pt>
                <c:pt idx="2">
                  <c:v>0.91699641936720766</c:v>
                </c:pt>
                <c:pt idx="3">
                  <c:v>0.91197943805291082</c:v>
                </c:pt>
                <c:pt idx="4">
                  <c:v>0.90702014644583007</c:v>
                </c:pt>
                <c:pt idx="5">
                  <c:v>0.902121991706899</c:v>
                </c:pt>
                <c:pt idx="6">
                  <c:v>0.89728775806635264</c:v>
                </c:pt>
                <c:pt idx="7">
                  <c:v>0.89251970870311736</c:v>
                </c:pt>
                <c:pt idx="8">
                  <c:v>0.8878196919288146</c:v>
                </c:pt>
                <c:pt idx="9">
                  <c:v>0.88318922046802495</c:v>
                </c:pt>
                <c:pt idx="10">
                  <c:v>0.87862953007209144</c:v>
                </c:pt>
                <c:pt idx="11">
                  <c:v>0.87414162237448945</c:v>
                </c:pt>
                <c:pt idx="12">
                  <c:v>0.86972629576677618</c:v>
                </c:pt>
                <c:pt idx="13">
                  <c:v>0.8653841672530459</c:v>
                </c:pt>
                <c:pt idx="14">
                  <c:v>0.86111568761826884</c:v>
                </c:pt>
                <c:pt idx="15">
                  <c:v>0.85692115176571659</c:v>
                </c:pt>
                <c:pt idx="16">
                  <c:v>0.85280070569930111</c:v>
                </c:pt>
                <c:pt idx="17">
                  <c:v>0.84875435132157107</c:v>
                </c:pt>
                <c:pt idx="18">
                  <c:v>0.84478194996741474</c:v>
                </c:pt>
                <c:pt idx="19">
                  <c:v>0.84088322538422566</c:v>
                </c:pt>
                <c:pt idx="20">
                  <c:v>0.83705776669298992</c:v>
                </c:pt>
                <c:pt idx="21">
                  <c:v>0.83330503171489967</c:v>
                </c:pt>
                <c:pt idx="22">
                  <c:v>0.82962435092187492</c:v>
                </c:pt>
                <c:pt idx="23">
                  <c:v>0.82601493216346644</c:v>
                </c:pt>
                <c:pt idx="24">
                  <c:v>0.82247586623536839</c:v>
                </c:pt>
                <c:pt idx="25">
                  <c:v>0.819006133285061</c:v>
                </c:pt>
                <c:pt idx="26">
                  <c:v>0.81560460999596673</c:v>
                </c:pt>
                <c:pt idx="27">
                  <c:v>0.81227007745196944</c:v>
                </c:pt>
                <c:pt idx="28">
                  <c:v>0.80900122955745601</c:v>
                </c:pt>
                <c:pt idx="29">
                  <c:v>0.80579668187227538</c:v>
                </c:pt>
                <c:pt idx="30">
                  <c:v>0.80265498071523522</c:v>
                </c:pt>
                <c:pt idx="31">
                  <c:v>0.79957461239108718</c:v>
                </c:pt>
                <c:pt idx="32">
                  <c:v>0.79655401240374424</c:v>
                </c:pt>
                <c:pt idx="33">
                  <c:v>0.79359157453043172</c:v>
                </c:pt>
                <c:pt idx="34">
                  <c:v>0.79068565964637438</c:v>
                </c:pt>
                <c:pt idx="35">
                  <c:v>0.78783460420647067</c:v>
                </c:pt>
                <c:pt idx="36">
                  <c:v>0.78503672830741822</c:v>
                </c:pt>
                <c:pt idx="37">
                  <c:v>0.78229034327122426</c:v>
                </c:pt>
                <c:pt idx="38">
                  <c:v>0.77959375870687297</c:v>
                </c:pt>
                <c:pt idx="39">
                  <c:v>0.77694528902229776</c:v>
                </c:pt>
                <c:pt idx="40">
                  <c:v>0.77434325937170756</c:v>
                </c:pt>
                <c:pt idx="41">
                  <c:v>0.77178601103539912</c:v>
                </c:pt>
                <c:pt idx="42">
                  <c:v>0.76867614150102703</c:v>
                </c:pt>
                <c:pt idx="43">
                  <c:v>0.76558294182023567</c:v>
                </c:pt>
                <c:pt idx="44">
                  <c:v>0.76255235843935254</c:v>
                </c:pt>
                <c:pt idx="45">
                  <c:v>0.75958300435047132</c:v>
                </c:pt>
                <c:pt idx="46">
                  <c:v>0.75667348747931806</c:v>
                </c:pt>
                <c:pt idx="47">
                  <c:v>0.75382241599327549</c:v>
                </c:pt>
                <c:pt idx="48">
                  <c:v>0.75102840296952522</c:v>
                </c:pt>
                <c:pt idx="49">
                  <c:v>0.74829007047431617</c:v>
                </c:pt>
                <c:pt idx="50">
                  <c:v>0.74560605310300343</c:v>
                </c:pt>
                <c:pt idx="51">
                  <c:v>0.7429750010286954</c:v>
                </c:pt>
                <c:pt idx="52">
                  <c:v>0.74039558260515237</c:v>
                </c:pt>
                <c:pt idx="53">
                  <c:v>0.73786648656692633</c:v>
                </c:pt>
                <c:pt idx="54">
                  <c:v>0.73538642386731301</c:v>
                </c:pt>
                <c:pt idx="55">
                  <c:v>0.73295412919164649</c:v>
                </c:pt>
                <c:pt idx="56">
                  <c:v>0.73056836218083787</c:v>
                </c:pt>
                <c:pt idx="57">
                  <c:v>0.72822790839733575</c:v>
                </c:pt>
                <c:pt idx="58">
                  <c:v>0.72593158006289049</c:v>
                </c:pt>
                <c:pt idx="59">
                  <c:v>0.72367821659504283</c:v>
                </c:pt>
                <c:pt idx="60">
                  <c:v>0.72146668496672783</c:v>
                </c:pt>
                <c:pt idx="61">
                  <c:v>0.71929587991110977</c:v>
                </c:pt>
                <c:pt idx="62">
                  <c:v>0.71716472399173026</c:v>
                </c:pt>
                <c:pt idx="63">
                  <c:v>0.71507216754378122</c:v>
                </c:pt>
                <c:pt idx="64">
                  <c:v>0.71301718857974583</c:v>
                </c:pt>
                <c:pt idx="65">
                  <c:v>0.7109987924663842</c:v>
                </c:pt>
                <c:pt idx="66">
                  <c:v>0.7090160116858546</c:v>
                </c:pt>
                <c:pt idx="67">
                  <c:v>0.7070679054464738</c:v>
                </c:pt>
                <c:pt idx="68">
                  <c:v>0.70515355926185663</c:v>
                </c:pt>
                <c:pt idx="69">
                  <c:v>0.70327208448723444</c:v>
                </c:pt>
                <c:pt idx="70">
                  <c:v>0.70142261782081483</c:v>
                </c:pt>
                <c:pt idx="71">
                  <c:v>0.69960432077719392</c:v>
                </c:pt>
                <c:pt idx="72">
                  <c:v>0.69781637913887917</c:v>
                </c:pt>
                <c:pt idx="73">
                  <c:v>0.69605800239147075</c:v>
                </c:pt>
                <c:pt idx="74">
                  <c:v>0.69432842314690824</c:v>
                </c:pt>
                <c:pt idx="75">
                  <c:v>0.69262689655907261</c:v>
                </c:pt>
                <c:pt idx="76">
                  <c:v>0.69095269973518714</c:v>
                </c:pt>
                <c:pt idx="77">
                  <c:v>0.6893051311460151</c:v>
                </c:pt>
                <c:pt idx="78">
                  <c:v>0.68768351003754569</c:v>
                </c:pt>
                <c:pt idx="79">
                  <c:v>0.68608717584637091</c:v>
                </c:pt>
                <c:pt idx="80">
                  <c:v>0.68451548762061176</c:v>
                </c:pt>
                <c:pt idx="81">
                  <c:v>0.68296782344805118</c:v>
                </c:pt>
                <c:pt idx="82">
                  <c:v>0.68144357989276172</c:v>
                </c:pt>
                <c:pt idx="83">
                  <c:v>0.67994217144139157</c:v>
                </c:pt>
                <c:pt idx="84">
                  <c:v>0.67846302995996577</c:v>
                </c:pt>
                <c:pt idx="85">
                  <c:v>0.67700560416192535</c:v>
                </c:pt>
                <c:pt idx="86">
                  <c:v>0.67556935908804627</c:v>
                </c:pt>
                <c:pt idx="87">
                  <c:v>0.67415377559860923</c:v>
                </c:pt>
                <c:pt idx="88">
                  <c:v>0.67275834987816641</c:v>
                </c:pt>
                <c:pt idx="89">
                  <c:v>0.67138259295314717</c:v>
                </c:pt>
                <c:pt idx="90">
                  <c:v>0.67002603022240126</c:v>
                </c:pt>
                <c:pt idx="91">
                  <c:v>0.66868820100078452</c:v>
                </c:pt>
                <c:pt idx="92">
                  <c:v>0.66736865807565526</c:v>
                </c:pt>
                <c:pt idx="93">
                  <c:v>0.66606696727647785</c:v>
                </c:pt>
                <c:pt idx="94">
                  <c:v>0.66478270705710008</c:v>
                </c:pt>
                <c:pt idx="95">
                  <c:v>0.66351546809081263</c:v>
                </c:pt>
                <c:pt idx="96">
                  <c:v>0.662264852902965</c:v>
                </c:pt>
                <c:pt idx="97">
                  <c:v>0.6610304754027625</c:v>
                </c:pt>
                <c:pt idx="98">
                  <c:v>0.6598119606335251</c:v>
                </c:pt>
                <c:pt idx="99">
                  <c:v>0.65860894434481021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BB-4B6E-91B1-1DCB14E7B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199951"/>
        <c:axId val="583200431"/>
      </c:scatterChart>
      <c:valAx>
        <c:axId val="5831999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HagedornBrown!$K$23</c:f>
              <c:strCache>
                <c:ptCount val="1"/>
                <c:pt idx="0">
                  <c:v>Norm(Vg/Vt)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200431"/>
        <c:crosses val="autoZero"/>
        <c:crossBetween val="midCat"/>
      </c:valAx>
      <c:valAx>
        <c:axId val="58320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HagedornBrown!$F$23</c:f>
              <c:strCache>
                <c:ptCount val="1"/>
                <c:pt idx="0">
                  <c:v>LHOLDUP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199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HagedornBrown!$C$24:$C$124</c:f>
              <c:numCache>
                <c:formatCode>#,##0.0</c:formatCode>
                <c:ptCount val="101"/>
                <c:pt idx="0">
                  <c:v>800</c:v>
                </c:pt>
                <c:pt idx="1">
                  <c:v>835.30390934563172</c:v>
                </c:pt>
                <c:pt idx="2">
                  <c:v>870.42578889197705</c:v>
                </c:pt>
                <c:pt idx="3">
                  <c:v>905.36963593441453</c:v>
                </c:pt>
                <c:pt idx="4">
                  <c:v>940.13949537972769</c:v>
                </c:pt>
                <c:pt idx="5">
                  <c:v>974.73943389086321</c:v>
                </c:pt>
                <c:pt idx="6">
                  <c:v>1009.1735202465309</c:v>
                </c:pt>
                <c:pt idx="7">
                  <c:v>1043.4458102990807</c:v>
                </c:pt>
                <c:pt idx="8">
                  <c:v>1077.5603353165059</c:v>
                </c:pt>
                <c:pt idx="9">
                  <c:v>1111.52109281143</c:v>
                </c:pt>
                <c:pt idx="10">
                  <c:v>1145.3320391840432</c:v>
                </c:pt>
                <c:pt idx="11">
                  <c:v>1178.9970836793723</c:v>
                </c:pt>
                <c:pt idx="12">
                  <c:v>1212.5200832906185</c:v>
                </c:pt>
                <c:pt idx="13">
                  <c:v>1245.904838340974</c:v>
                </c:pt>
                <c:pt idx="14">
                  <c:v>1279.155088553784</c:v>
                </c:pt>
                <c:pt idx="15">
                  <c:v>1312.2745094805414</c:v>
                </c:pt>
                <c:pt idx="16">
                  <c:v>1345.2667092018573</c:v>
                </c:pt>
                <c:pt idx="17">
                  <c:v>1378.1352252511231</c:v>
                </c:pt>
                <c:pt idx="18">
                  <c:v>1410.883521736243</c:v>
                </c:pt>
                <c:pt idx="19">
                  <c:v>1443.5149866532568</c:v>
                </c:pt>
                <c:pt idx="20">
                  <c:v>1476.0329293982388</c:v>
                </c:pt>
                <c:pt idx="21">
                  <c:v>1508.440578491668</c:v>
                </c:pt>
                <c:pt idx="22">
                  <c:v>1540.7410795334722</c:v>
                </c:pt>
                <c:pt idx="23">
                  <c:v>1572.9374934079754</c:v>
                </c:pt>
                <c:pt idx="24">
                  <c:v>1605.0327947567282</c:v>
                </c:pt>
                <c:pt idx="25">
                  <c:v>1637.0298707343338</c:v>
                </c:pt>
                <c:pt idx="26">
                  <c:v>1668.9315200584083</c:v>
                </c:pt>
                <c:pt idx="27">
                  <c:v>1700.7404523602229</c:v>
                </c:pt>
                <c:pt idx="28">
                  <c:v>1732.4592878377439</c:v>
                </c:pt>
                <c:pt idx="29">
                  <c:v>1764.0905572080067</c:v>
                </c:pt>
                <c:pt idx="30">
                  <c:v>1795.6367019513027</c:v>
                </c:pt>
                <c:pt idx="31">
                  <c:v>1827.1000748356562</c:v>
                </c:pt>
                <c:pt idx="32">
                  <c:v>1858.4829407066579</c:v>
                </c:pt>
                <c:pt idx="33">
                  <c:v>1889.7874775249491</c:v>
                </c:pt>
                <c:pt idx="34">
                  <c:v>1921.0157776315334</c:v>
                </c:pt>
                <c:pt idx="35">
                  <c:v>1952.1698492196285</c:v>
                </c:pt>
                <c:pt idx="36">
                  <c:v>1983.2516179908846</c:v>
                </c:pt>
                <c:pt idx="37">
                  <c:v>2014.2629289734768</c:v>
                </c:pt>
                <c:pt idx="38">
                  <c:v>2045.2055484797065</c:v>
                </c:pt>
                <c:pt idx="39">
                  <c:v>2076.0811661812868</c:v>
                </c:pt>
                <c:pt idx="40">
                  <c:v>2106.8913972813402</c:v>
                </c:pt>
                <c:pt idx="41">
                  <c:v>2137.6377847632452</c:v>
                </c:pt>
                <c:pt idx="42">
                  <c:v>2168.3105275619523</c:v>
                </c:pt>
                <c:pt idx="43">
                  <c:v>2198.9107368606669</c:v>
                </c:pt>
                <c:pt idx="44">
                  <c:v>2229.440363168867</c:v>
                </c:pt>
                <c:pt idx="45">
                  <c:v>2259.901295050769</c:v>
                </c:pt>
                <c:pt idx="46">
                  <c:v>2290.295360401135</c:v>
                </c:pt>
                <c:pt idx="47">
                  <c:v>2320.6243278130746</c:v>
                </c:pt>
                <c:pt idx="48">
                  <c:v>2350.8899080183542</c:v>
                </c:pt>
                <c:pt idx="49">
                  <c:v>2381.0937553829071</c:v>
                </c:pt>
                <c:pt idx="50">
                  <c:v>2411.2374694422856</c:v>
                </c:pt>
                <c:pt idx="51">
                  <c:v>2441.3225964636636</c:v>
                </c:pt>
                <c:pt idx="52">
                  <c:v>2471.3506310227403</c:v>
                </c:pt>
                <c:pt idx="53">
                  <c:v>2501.3230175854405</c:v>
                </c:pt>
                <c:pt idx="54">
                  <c:v>2531.2411520857459</c:v>
                </c:pt>
                <c:pt idx="55">
                  <c:v>2561.1063834922579</c:v>
                </c:pt>
                <c:pt idx="56">
                  <c:v>2590.9200153572401</c:v>
                </c:pt>
                <c:pt idx="57">
                  <c:v>2620.683307342907</c:v>
                </c:pt>
                <c:pt idx="58">
                  <c:v>2650.3974767206323</c:v>
                </c:pt>
                <c:pt idx="59">
                  <c:v>2680.0636998395466</c:v>
                </c:pt>
                <c:pt idx="60">
                  <c:v>2709.6831135616962</c:v>
                </c:pt>
                <c:pt idx="61">
                  <c:v>2739.2568166615515</c:v>
                </c:pt>
                <c:pt idx="62">
                  <c:v>2768.7858711881877</c:v>
                </c:pt>
                <c:pt idx="63">
                  <c:v>2798.2713037886897</c:v>
                </c:pt>
                <c:pt idx="64">
                  <c:v>2827.7141069932295</c:v>
                </c:pt>
                <c:pt idx="65">
                  <c:v>2857.1152404585896</c:v>
                </c:pt>
                <c:pt idx="66">
                  <c:v>2886.4756321730069</c:v>
                </c:pt>
                <c:pt idx="67">
                  <c:v>2915.7961796206996</c:v>
                </c:pt>
                <c:pt idx="68">
                  <c:v>2945.0777509067448</c:v>
                </c:pt>
                <c:pt idx="69">
                  <c:v>2974.321185842774</c:v>
                </c:pt>
                <c:pt idx="70">
                  <c:v>3003.5272969940775</c:v>
                </c:pt>
                <c:pt idx="71">
                  <c:v>3032.6968706888424</c:v>
                </c:pt>
                <c:pt idx="72">
                  <c:v>3061.8306679903367</c:v>
                </c:pt>
                <c:pt idx="73">
                  <c:v>3090.9294256329295</c:v>
                </c:pt>
                <c:pt idx="74">
                  <c:v>3119.9938569228948</c:v>
                </c:pt>
                <c:pt idx="75">
                  <c:v>3149.0246526049868</c:v>
                </c:pt>
                <c:pt idx="76">
                  <c:v>3178.0224816958116</c:v>
                </c:pt>
                <c:pt idx="77">
                  <c:v>3206.9879922850305</c:v>
                </c:pt>
                <c:pt idx="78">
                  <c:v>3235.9218123054488</c:v>
                </c:pt>
                <c:pt idx="79">
                  <c:v>3264.8245502730424</c:v>
                </c:pt>
                <c:pt idx="80">
                  <c:v>3293.696795997967</c:v>
                </c:pt>
                <c:pt idx="81">
                  <c:v>3322.539121267595</c:v>
                </c:pt>
                <c:pt idx="82">
                  <c:v>3351.3520805025987</c:v>
                </c:pt>
                <c:pt idx="83">
                  <c:v>3380.1362113870914</c:v>
                </c:pt>
                <c:pt idx="84">
                  <c:v>3408.8920354738093</c:v>
                </c:pt>
                <c:pt idx="85">
                  <c:v>3437.6200587653007</c:v>
                </c:pt>
                <c:pt idx="86">
                  <c:v>3466.3207722720563</c:v>
                </c:pt>
                <c:pt idx="87">
                  <c:v>3494.9946525484961</c:v>
                </c:pt>
                <c:pt idx="88">
                  <c:v>3523.6421622076955</c:v>
                </c:pt>
                <c:pt idx="89">
                  <c:v>3552.2637504157074</c:v>
                </c:pt>
                <c:pt idx="90">
                  <c:v>3580.8598533663094</c:v>
                </c:pt>
                <c:pt idx="91">
                  <c:v>3609.4308947369732</c:v>
                </c:pt>
                <c:pt idx="92">
                  <c:v>3637.9772861268289</c:v>
                </c:pt>
                <c:pt idx="93">
                  <c:v>3666.499427477369</c:v>
                </c:pt>
                <c:pt idx="94">
                  <c:v>3694.9977074766025</c:v>
                </c:pt>
                <c:pt idx="95">
                  <c:v>3723.4725039473515</c:v>
                </c:pt>
                <c:pt idx="96">
                  <c:v>3751.9241842207462</c:v>
                </c:pt>
                <c:pt idx="97">
                  <c:v>3780.3531054937507</c:v>
                </c:pt>
                <c:pt idx="98">
                  <c:v>3808.7596151746266</c:v>
                </c:pt>
                <c:pt idx="99">
                  <c:v>3837.1440512138761</c:v>
                </c:pt>
                <c:pt idx="100">
                  <c:v>3865.5067424226404</c:v>
                </c:pt>
              </c:numCache>
            </c:numRef>
          </c:xVal>
          <c:yVal>
            <c:numRef>
              <c:f>HagedornBrown!$B$24:$B$124</c:f>
              <c:numCache>
                <c:formatCode>#,##0.0</c:formatCode>
                <c:ptCount val="10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AE-44EB-ADCE-7294449E1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7506912"/>
        <c:axId val="1907504512"/>
      </c:scatterChart>
      <c:valAx>
        <c:axId val="19075069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HagedornBrown!$C$23</c:f>
              <c:strCache>
                <c:ptCount val="1"/>
                <c:pt idx="0">
                  <c:v>P psi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504512"/>
        <c:crosses val="autoZero"/>
        <c:crossBetween val="midCat"/>
      </c:valAx>
      <c:valAx>
        <c:axId val="1907504512"/>
        <c:scaling>
          <c:orientation val="maxMin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HagedornBrown!$B$23</c:f>
              <c:strCache>
                <c:ptCount val="1"/>
                <c:pt idx="0">
                  <c:v>Depth ft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50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HagedornBrown!$H$24:$H$124</c:f>
              <c:numCache>
                <c:formatCode>0.00</c:formatCode>
                <c:ptCount val="101"/>
                <c:pt idx="0">
                  <c:v>1.3739564100249521E-2</c:v>
                </c:pt>
                <c:pt idx="1">
                  <c:v>1.3739564100249521E-2</c:v>
                </c:pt>
                <c:pt idx="2">
                  <c:v>1.3094384438067026E-2</c:v>
                </c:pt>
                <c:pt idx="3">
                  <c:v>1.2506398552310264E-2</c:v>
                </c:pt>
                <c:pt idx="4">
                  <c:v>1.1968596723720495E-2</c:v>
                </c:pt>
                <c:pt idx="5">
                  <c:v>1.1475077938447461E-2</c:v>
                </c:pt>
                <c:pt idx="6">
                  <c:v>1.1020838572151265E-2</c:v>
                </c:pt>
                <c:pt idx="7">
                  <c:v>1.0601607472059904E-2</c:v>
                </c:pt>
                <c:pt idx="8">
                  <c:v>1.0213715966086093E-2</c:v>
                </c:pt>
                <c:pt idx="9">
                  <c:v>9.8539945040643645E-3</c:v>
                </c:pt>
                <c:pt idx="10">
                  <c:v>9.5196897851440778E-3</c:v>
                </c:pt>
                <c:pt idx="11">
                  <c:v>9.2083978042617354E-3</c:v>
                </c:pt>
                <c:pt idx="12">
                  <c:v>8.9180093771515593E-3</c:v>
                </c:pt>
                <c:pt idx="13">
                  <c:v>8.6466655278750748E-3</c:v>
                </c:pt>
                <c:pt idx="14">
                  <c:v>8.3927207313459519E-3</c:v>
                </c:pt>
                <c:pt idx="15">
                  <c:v>8.1547124568216462E-3</c:v>
                </c:pt>
                <c:pt idx="16">
                  <c:v>7.9313357994451831E-3</c:v>
                </c:pt>
                <c:pt idx="17">
                  <c:v>7.721422245753339E-3</c:v>
                </c:pt>
                <c:pt idx="18">
                  <c:v>7.5239218171118767E-3</c:v>
                </c:pt>
                <c:pt idx="19">
                  <c:v>7.3378879877888737E-3</c:v>
                </c:pt>
                <c:pt idx="20">
                  <c:v>7.162464893107361E-3</c:v>
                </c:pt>
                <c:pt idx="21">
                  <c:v>6.9968764360992756E-3</c:v>
                </c:pt>
                <c:pt idx="22">
                  <c:v>6.840416974431187E-3</c:v>
                </c:pt>
                <c:pt idx="23">
                  <c:v>6.6924433276417091E-3</c:v>
                </c:pt>
                <c:pt idx="24">
                  <c:v>6.5523678913364091E-3</c:v>
                </c:pt>
                <c:pt idx="25">
                  <c:v>6.4196526825029193E-3</c:v>
                </c:pt>
                <c:pt idx="26">
                  <c:v>6.2938041704918039E-3</c:v>
                </c:pt>
                <c:pt idx="27">
                  <c:v>6.174368772950755E-3</c:v>
                </c:pt>
                <c:pt idx="28">
                  <c:v>6.0609289162477575E-3</c:v>
                </c:pt>
                <c:pt idx="29">
                  <c:v>5.9530995765611858E-3</c:v>
                </c:pt>
                <c:pt idx="30">
                  <c:v>5.8505252315444204E-3</c:v>
                </c:pt>
                <c:pt idx="31">
                  <c:v>5.7528771638329845E-3</c:v>
                </c:pt>
                <c:pt idx="32">
                  <c:v>5.6598510670857072E-3</c:v>
                </c:pt>
                <c:pt idx="33">
                  <c:v>5.5711649130826563E-3</c:v>
                </c:pt>
                <c:pt idx="34">
                  <c:v>5.486557044919866E-3</c:v>
                </c:pt>
                <c:pt idx="35">
                  <c:v>5.4057844667706459E-3</c:v>
                </c:pt>
                <c:pt idx="36">
                  <c:v>5.3286213052102507E-3</c:v>
                </c:pt>
                <c:pt idx="37">
                  <c:v>5.254857420878071E-3</c:v>
                </c:pt>
                <c:pt idx="38">
                  <c:v>5.1842971524051788E-3</c:v>
                </c:pt>
                <c:pt idx="39">
                  <c:v>5.1167581771701014E-3</c:v>
                </c:pt>
                <c:pt idx="40">
                  <c:v>5.0520704756496703E-3</c:v>
                </c:pt>
                <c:pt idx="41">
                  <c:v>4.9900753879773144E-3</c:v>
                </c:pt>
                <c:pt idx="42">
                  <c:v>4.930624752869186E-3</c:v>
                </c:pt>
                <c:pt idx="43">
                  <c:v>4.8736062821261679E-3</c:v>
                </c:pt>
                <c:pt idx="44">
                  <c:v>4.8188886018994785E-3</c:v>
                </c:pt>
                <c:pt idx="45">
                  <c:v>4.7663468656291199E-3</c:v>
                </c:pt>
                <c:pt idx="46">
                  <c:v>4.7158643454857955E-3</c:v>
                </c:pt>
                <c:pt idx="47">
                  <c:v>4.6673318349098698E-3</c:v>
                </c:pt>
                <c:pt idx="48">
                  <c:v>4.6206470996275218E-3</c:v>
                </c:pt>
                <c:pt idx="49">
                  <c:v>4.5757143727774485E-3</c:v>
                </c:pt>
                <c:pt idx="50">
                  <c:v>4.5324438902392588E-3</c:v>
                </c:pt>
                <c:pt idx="51">
                  <c:v>4.4907514626531132E-3</c:v>
                </c:pt>
                <c:pt idx="52">
                  <c:v>4.4505580809686618E-3</c:v>
                </c:pt>
                <c:pt idx="53">
                  <c:v>4.4117895526677442E-3</c:v>
                </c:pt>
                <c:pt idx="54">
                  <c:v>4.3743761660760497E-3</c:v>
                </c:pt>
                <c:pt idx="55">
                  <c:v>4.338252380419098E-3</c:v>
                </c:pt>
                <c:pt idx="56">
                  <c:v>4.3033565394920738E-3</c:v>
                </c:pt>
                <c:pt idx="57">
                  <c:v>4.2696306070044545E-3</c:v>
                </c:pt>
                <c:pt idx="58">
                  <c:v>4.2370199218323299E-3</c:v>
                </c:pt>
                <c:pt idx="59">
                  <c:v>4.205472971566023E-3</c:v>
                </c:pt>
                <c:pt idx="60">
                  <c:v>4.1749411828803443E-3</c:v>
                </c:pt>
                <c:pt idx="61">
                  <c:v>4.1453787273812177E-3</c:v>
                </c:pt>
                <c:pt idx="62">
                  <c:v>4.1167423416970019E-3</c:v>
                </c:pt>
                <c:pt idx="63">
                  <c:v>4.0889911605011403E-3</c:v>
                </c:pt>
                <c:pt idx="64">
                  <c:v>4.0620865626292231E-3</c:v>
                </c:pt>
                <c:pt idx="65">
                  <c:v>4.0359920261174714E-3</c:v>
                </c:pt>
                <c:pt idx="66">
                  <c:v>4.0106729959675956E-3</c:v>
                </c:pt>
                <c:pt idx="67">
                  <c:v>3.986096760002774E-3</c:v>
                </c:pt>
                <c:pt idx="68">
                  <c:v>3.9622323337833859E-3</c:v>
                </c:pt>
                <c:pt idx="69">
                  <c:v>3.939050353593457E-3</c:v>
                </c:pt>
                <c:pt idx="70">
                  <c:v>3.9165229768815223E-3</c:v>
                </c:pt>
                <c:pt idx="71">
                  <c:v>3.8946237895896426E-3</c:v>
                </c:pt>
                <c:pt idx="72">
                  <c:v>3.8733277198500565E-3</c:v>
                </c:pt>
                <c:pt idx="73">
                  <c:v>3.8526109575709568E-3</c:v>
                </c:pt>
                <c:pt idx="74">
                  <c:v>3.8324508794711702E-3</c:v>
                </c:pt>
                <c:pt idx="75">
                  <c:v>3.8128259791587373E-3</c:v>
                </c:pt>
                <c:pt idx="76">
                  <c:v>3.7937158018806118E-3</c:v>
                </c:pt>
                <c:pt idx="77">
                  <c:v>3.7751008836002047E-3</c:v>
                </c:pt>
                <c:pt idx="78">
                  <c:v>3.7569626940865608E-3</c:v>
                </c:pt>
                <c:pt idx="79">
                  <c:v>3.7392835837238366E-3</c:v>
                </c:pt>
                <c:pt idx="80">
                  <c:v>3.7220467337724821E-3</c:v>
                </c:pt>
                <c:pt idx="81">
                  <c:v>3.7052361098344482E-3</c:v>
                </c:pt>
                <c:pt idx="82">
                  <c:v>3.6888364182939039E-3</c:v>
                </c:pt>
                <c:pt idx="83">
                  <c:v>3.6728330655226085E-3</c:v>
                </c:pt>
                <c:pt idx="84">
                  <c:v>3.6572121196551946E-3</c:v>
                </c:pt>
                <c:pt idx="85">
                  <c:v>3.6419602747545425E-3</c:v>
                </c:pt>
                <c:pt idx="86">
                  <c:v>3.6270648172010236E-3</c:v>
                </c:pt>
                <c:pt idx="87">
                  <c:v>3.6125135941520218E-3</c:v>
                </c:pt>
                <c:pt idx="88">
                  <c:v>3.5982949839295808E-3</c:v>
                </c:pt>
                <c:pt idx="89">
                  <c:v>3.5843978682047525E-3</c:v>
                </c:pt>
                <c:pt idx="90">
                  <c:v>3.5708116058569281E-3</c:v>
                </c:pt>
                <c:pt idx="91">
                  <c:v>3.5575260083954463E-3</c:v>
                </c:pt>
                <c:pt idx="92">
                  <c:v>3.5445313168390759E-3</c:v>
                </c:pt>
                <c:pt idx="93">
                  <c:v>3.5318181799565583E-3</c:v>
                </c:pt>
                <c:pt idx="94">
                  <c:v>3.5193776337784956E-3</c:v>
                </c:pt>
                <c:pt idx="95">
                  <c:v>3.5072010822972794E-3</c:v>
                </c:pt>
                <c:pt idx="96">
                  <c:v>3.4952802795778187E-3</c:v>
                </c:pt>
                <c:pt idx="97">
                  <c:v>3.4836073115528461E-3</c:v>
                </c:pt>
                <c:pt idx="98">
                  <c:v>3.4721745812643654E-3</c:v>
                </c:pt>
                <c:pt idx="99">
                  <c:v>3.460974792737027E-3</c:v>
                </c:pt>
                <c:pt idx="100">
                  <c:v>3.4500009367607908E-3</c:v>
                </c:pt>
              </c:numCache>
            </c:numRef>
          </c:xVal>
          <c:yVal>
            <c:numRef>
              <c:f>HagedornBrown!$B$24:$B$124</c:f>
              <c:numCache>
                <c:formatCode>#,##0.0</c:formatCode>
                <c:ptCount val="10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F-4035-A8D6-C6D0BCFC0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7506912"/>
        <c:axId val="1907504512"/>
      </c:scatterChart>
      <c:valAx>
        <c:axId val="19075069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HagedornBrown!$H$23</c:f>
              <c:strCache>
                <c:ptCount val="1"/>
                <c:pt idx="0">
                  <c:v>USG ft/s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504512"/>
        <c:crosses val="autoZero"/>
        <c:crossBetween val="midCat"/>
      </c:valAx>
      <c:valAx>
        <c:axId val="1907504512"/>
        <c:scaling>
          <c:orientation val="maxMin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HagedornBrown!$B$23</c:f>
              <c:strCache>
                <c:ptCount val="1"/>
                <c:pt idx="0">
                  <c:v>Depth ft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50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HagedornBrown!$D$24:$D$124</c:f>
              <c:numCache>
                <c:formatCode>#,##0.0</c:formatCode>
                <c:ptCount val="101"/>
                <c:pt idx="0">
                  <c:v>90</c:v>
                </c:pt>
                <c:pt idx="1">
                  <c:v>90.85</c:v>
                </c:pt>
                <c:pt idx="2">
                  <c:v>91.7</c:v>
                </c:pt>
                <c:pt idx="3">
                  <c:v>92.55</c:v>
                </c:pt>
                <c:pt idx="4">
                  <c:v>93.4</c:v>
                </c:pt>
                <c:pt idx="5">
                  <c:v>94.25</c:v>
                </c:pt>
                <c:pt idx="6">
                  <c:v>95.1</c:v>
                </c:pt>
                <c:pt idx="7">
                  <c:v>95.95</c:v>
                </c:pt>
                <c:pt idx="8">
                  <c:v>96.8</c:v>
                </c:pt>
                <c:pt idx="9">
                  <c:v>97.65</c:v>
                </c:pt>
                <c:pt idx="10">
                  <c:v>98.5</c:v>
                </c:pt>
                <c:pt idx="11">
                  <c:v>99.35</c:v>
                </c:pt>
                <c:pt idx="12">
                  <c:v>100.2</c:v>
                </c:pt>
                <c:pt idx="13">
                  <c:v>101.05</c:v>
                </c:pt>
                <c:pt idx="14">
                  <c:v>101.9</c:v>
                </c:pt>
                <c:pt idx="15">
                  <c:v>102.75</c:v>
                </c:pt>
                <c:pt idx="16">
                  <c:v>103.6</c:v>
                </c:pt>
                <c:pt idx="17">
                  <c:v>104.45</c:v>
                </c:pt>
                <c:pt idx="18">
                  <c:v>105.3</c:v>
                </c:pt>
                <c:pt idx="19">
                  <c:v>106.15</c:v>
                </c:pt>
                <c:pt idx="20">
                  <c:v>107</c:v>
                </c:pt>
                <c:pt idx="21">
                  <c:v>107.85</c:v>
                </c:pt>
                <c:pt idx="22">
                  <c:v>108.7</c:v>
                </c:pt>
                <c:pt idx="23">
                  <c:v>109.55</c:v>
                </c:pt>
                <c:pt idx="24">
                  <c:v>110.4</c:v>
                </c:pt>
                <c:pt idx="25">
                  <c:v>111.25</c:v>
                </c:pt>
                <c:pt idx="26">
                  <c:v>112.1</c:v>
                </c:pt>
                <c:pt idx="27">
                  <c:v>112.95</c:v>
                </c:pt>
                <c:pt idx="28">
                  <c:v>113.8</c:v>
                </c:pt>
                <c:pt idx="29">
                  <c:v>114.65</c:v>
                </c:pt>
                <c:pt idx="30">
                  <c:v>115.5</c:v>
                </c:pt>
                <c:pt idx="31">
                  <c:v>116.35</c:v>
                </c:pt>
                <c:pt idx="32">
                  <c:v>117.2</c:v>
                </c:pt>
                <c:pt idx="33">
                  <c:v>118.05</c:v>
                </c:pt>
                <c:pt idx="34">
                  <c:v>118.9</c:v>
                </c:pt>
                <c:pt idx="35">
                  <c:v>119.75</c:v>
                </c:pt>
                <c:pt idx="36">
                  <c:v>120.6</c:v>
                </c:pt>
                <c:pt idx="37">
                  <c:v>121.45</c:v>
                </c:pt>
                <c:pt idx="38">
                  <c:v>122.30000000000001</c:v>
                </c:pt>
                <c:pt idx="39">
                  <c:v>123.15</c:v>
                </c:pt>
                <c:pt idx="40">
                  <c:v>124</c:v>
                </c:pt>
                <c:pt idx="41">
                  <c:v>124.85</c:v>
                </c:pt>
                <c:pt idx="42">
                  <c:v>125.7</c:v>
                </c:pt>
                <c:pt idx="43">
                  <c:v>126.55000000000001</c:v>
                </c:pt>
                <c:pt idx="44">
                  <c:v>127.4</c:v>
                </c:pt>
                <c:pt idx="45">
                  <c:v>128.25</c:v>
                </c:pt>
                <c:pt idx="46">
                  <c:v>129.1</c:v>
                </c:pt>
                <c:pt idx="47">
                  <c:v>129.94999999999999</c:v>
                </c:pt>
                <c:pt idx="48">
                  <c:v>130.80000000000001</c:v>
                </c:pt>
                <c:pt idx="49">
                  <c:v>131.65</c:v>
                </c:pt>
                <c:pt idx="50">
                  <c:v>132.5</c:v>
                </c:pt>
                <c:pt idx="51">
                  <c:v>133.35</c:v>
                </c:pt>
                <c:pt idx="52">
                  <c:v>134.19999999999999</c:v>
                </c:pt>
                <c:pt idx="53">
                  <c:v>135.05000000000001</c:v>
                </c:pt>
                <c:pt idx="54">
                  <c:v>135.9</c:v>
                </c:pt>
                <c:pt idx="55">
                  <c:v>136.75</c:v>
                </c:pt>
                <c:pt idx="56">
                  <c:v>137.6</c:v>
                </c:pt>
                <c:pt idx="57">
                  <c:v>138.44999999999999</c:v>
                </c:pt>
                <c:pt idx="58">
                  <c:v>139.30000000000001</c:v>
                </c:pt>
                <c:pt idx="59">
                  <c:v>140.15</c:v>
                </c:pt>
                <c:pt idx="60">
                  <c:v>141</c:v>
                </c:pt>
                <c:pt idx="61">
                  <c:v>141.85</c:v>
                </c:pt>
                <c:pt idx="62">
                  <c:v>142.69999999999999</c:v>
                </c:pt>
                <c:pt idx="63">
                  <c:v>143.55000000000001</c:v>
                </c:pt>
                <c:pt idx="64">
                  <c:v>144.4</c:v>
                </c:pt>
                <c:pt idx="65">
                  <c:v>145.25</c:v>
                </c:pt>
                <c:pt idx="66">
                  <c:v>146.1</c:v>
                </c:pt>
                <c:pt idx="67">
                  <c:v>146.94999999999999</c:v>
                </c:pt>
                <c:pt idx="68">
                  <c:v>147.80000000000001</c:v>
                </c:pt>
                <c:pt idx="69">
                  <c:v>148.65</c:v>
                </c:pt>
                <c:pt idx="70">
                  <c:v>149.5</c:v>
                </c:pt>
                <c:pt idx="71">
                  <c:v>150.35</c:v>
                </c:pt>
                <c:pt idx="72">
                  <c:v>151.19999999999999</c:v>
                </c:pt>
                <c:pt idx="73">
                  <c:v>152.05000000000001</c:v>
                </c:pt>
                <c:pt idx="74">
                  <c:v>152.9</c:v>
                </c:pt>
                <c:pt idx="75">
                  <c:v>153.75</c:v>
                </c:pt>
                <c:pt idx="76">
                  <c:v>154.60000000000002</c:v>
                </c:pt>
                <c:pt idx="77">
                  <c:v>155.44999999999999</c:v>
                </c:pt>
                <c:pt idx="78">
                  <c:v>156.30000000000001</c:v>
                </c:pt>
                <c:pt idx="79">
                  <c:v>157.15</c:v>
                </c:pt>
                <c:pt idx="80">
                  <c:v>158</c:v>
                </c:pt>
                <c:pt idx="81">
                  <c:v>158.85000000000002</c:v>
                </c:pt>
                <c:pt idx="82">
                  <c:v>159.69999999999999</c:v>
                </c:pt>
                <c:pt idx="83">
                  <c:v>160.55000000000001</c:v>
                </c:pt>
                <c:pt idx="84">
                  <c:v>161.4</c:v>
                </c:pt>
                <c:pt idx="85">
                  <c:v>162.25</c:v>
                </c:pt>
                <c:pt idx="86">
                  <c:v>163.10000000000002</c:v>
                </c:pt>
                <c:pt idx="87">
                  <c:v>163.95</c:v>
                </c:pt>
                <c:pt idx="88">
                  <c:v>164.8</c:v>
                </c:pt>
                <c:pt idx="89">
                  <c:v>165.65</c:v>
                </c:pt>
                <c:pt idx="90">
                  <c:v>166.5</c:v>
                </c:pt>
                <c:pt idx="91">
                  <c:v>167.35000000000002</c:v>
                </c:pt>
                <c:pt idx="92">
                  <c:v>168.2</c:v>
                </c:pt>
                <c:pt idx="93">
                  <c:v>169.05</c:v>
                </c:pt>
                <c:pt idx="94">
                  <c:v>169.9</c:v>
                </c:pt>
                <c:pt idx="95">
                  <c:v>170.75</c:v>
                </c:pt>
                <c:pt idx="96">
                  <c:v>171.60000000000002</c:v>
                </c:pt>
                <c:pt idx="97">
                  <c:v>172.45</c:v>
                </c:pt>
                <c:pt idx="98">
                  <c:v>173.3</c:v>
                </c:pt>
                <c:pt idx="99">
                  <c:v>174.15</c:v>
                </c:pt>
                <c:pt idx="100">
                  <c:v>175</c:v>
                </c:pt>
              </c:numCache>
            </c:numRef>
          </c:xVal>
          <c:yVal>
            <c:numRef>
              <c:f>HagedornBrown!$B$24:$B$124</c:f>
              <c:numCache>
                <c:formatCode>#,##0.0</c:formatCode>
                <c:ptCount val="10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55-48BC-B9F0-E393F9735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7506912"/>
        <c:axId val="1907504512"/>
      </c:scatterChart>
      <c:valAx>
        <c:axId val="19075069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HagedornBrown!$D$23</c:f>
              <c:strCache>
                <c:ptCount val="1"/>
                <c:pt idx="0">
                  <c:v>T °F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504512"/>
        <c:crosses val="autoZero"/>
        <c:crossBetween val="midCat"/>
      </c:valAx>
      <c:valAx>
        <c:axId val="1907504512"/>
        <c:scaling>
          <c:orientation val="maxMin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HagedornBrown!$B$23</c:f>
              <c:strCache>
                <c:ptCount val="1"/>
                <c:pt idx="0">
                  <c:v>Depth ft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50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HagedornBrown!$F$23</c:f>
              <c:strCache>
                <c:ptCount val="1"/>
                <c:pt idx="0">
                  <c:v>LHOLDUP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HagedornBrown!$H$24:$H$124</c:f>
              <c:numCache>
                <c:formatCode>0.00</c:formatCode>
                <c:ptCount val="101"/>
                <c:pt idx="0">
                  <c:v>1.3739564100249521E-2</c:v>
                </c:pt>
                <c:pt idx="1">
                  <c:v>1.3739564100249521E-2</c:v>
                </c:pt>
                <c:pt idx="2">
                  <c:v>1.3094384438067026E-2</c:v>
                </c:pt>
                <c:pt idx="3">
                  <c:v>1.2506398552310264E-2</c:v>
                </c:pt>
                <c:pt idx="4">
                  <c:v>1.1968596723720495E-2</c:v>
                </c:pt>
                <c:pt idx="5">
                  <c:v>1.1475077938447461E-2</c:v>
                </c:pt>
                <c:pt idx="6">
                  <c:v>1.1020838572151265E-2</c:v>
                </c:pt>
                <c:pt idx="7">
                  <c:v>1.0601607472059904E-2</c:v>
                </c:pt>
                <c:pt idx="8">
                  <c:v>1.0213715966086093E-2</c:v>
                </c:pt>
                <c:pt idx="9">
                  <c:v>9.8539945040643645E-3</c:v>
                </c:pt>
                <c:pt idx="10">
                  <c:v>9.5196897851440778E-3</c:v>
                </c:pt>
                <c:pt idx="11">
                  <c:v>9.2083978042617354E-3</c:v>
                </c:pt>
                <c:pt idx="12">
                  <c:v>8.9180093771515593E-3</c:v>
                </c:pt>
                <c:pt idx="13">
                  <c:v>8.6466655278750748E-3</c:v>
                </c:pt>
                <c:pt idx="14">
                  <c:v>8.3927207313459519E-3</c:v>
                </c:pt>
                <c:pt idx="15">
                  <c:v>8.1547124568216462E-3</c:v>
                </c:pt>
                <c:pt idx="16">
                  <c:v>7.9313357994451831E-3</c:v>
                </c:pt>
                <c:pt idx="17">
                  <c:v>7.721422245753339E-3</c:v>
                </c:pt>
                <c:pt idx="18">
                  <c:v>7.5239218171118767E-3</c:v>
                </c:pt>
                <c:pt idx="19">
                  <c:v>7.3378879877888737E-3</c:v>
                </c:pt>
                <c:pt idx="20">
                  <c:v>7.162464893107361E-3</c:v>
                </c:pt>
                <c:pt idx="21">
                  <c:v>6.9968764360992756E-3</c:v>
                </c:pt>
                <c:pt idx="22">
                  <c:v>6.840416974431187E-3</c:v>
                </c:pt>
                <c:pt idx="23">
                  <c:v>6.6924433276417091E-3</c:v>
                </c:pt>
                <c:pt idx="24">
                  <c:v>6.5523678913364091E-3</c:v>
                </c:pt>
                <c:pt idx="25">
                  <c:v>6.4196526825029193E-3</c:v>
                </c:pt>
                <c:pt idx="26">
                  <c:v>6.2938041704918039E-3</c:v>
                </c:pt>
                <c:pt idx="27">
                  <c:v>6.174368772950755E-3</c:v>
                </c:pt>
                <c:pt idx="28">
                  <c:v>6.0609289162477575E-3</c:v>
                </c:pt>
                <c:pt idx="29">
                  <c:v>5.9530995765611858E-3</c:v>
                </c:pt>
                <c:pt idx="30">
                  <c:v>5.8505252315444204E-3</c:v>
                </c:pt>
                <c:pt idx="31">
                  <c:v>5.7528771638329845E-3</c:v>
                </c:pt>
                <c:pt idx="32">
                  <c:v>5.6598510670857072E-3</c:v>
                </c:pt>
                <c:pt idx="33">
                  <c:v>5.5711649130826563E-3</c:v>
                </c:pt>
                <c:pt idx="34">
                  <c:v>5.486557044919866E-3</c:v>
                </c:pt>
                <c:pt idx="35">
                  <c:v>5.4057844667706459E-3</c:v>
                </c:pt>
                <c:pt idx="36">
                  <c:v>5.3286213052102507E-3</c:v>
                </c:pt>
                <c:pt idx="37">
                  <c:v>5.254857420878071E-3</c:v>
                </c:pt>
                <c:pt idx="38">
                  <c:v>5.1842971524051788E-3</c:v>
                </c:pt>
                <c:pt idx="39">
                  <c:v>5.1167581771701014E-3</c:v>
                </c:pt>
                <c:pt idx="40">
                  <c:v>5.0520704756496703E-3</c:v>
                </c:pt>
                <c:pt idx="41">
                  <c:v>4.9900753879773144E-3</c:v>
                </c:pt>
                <c:pt idx="42">
                  <c:v>4.930624752869186E-3</c:v>
                </c:pt>
                <c:pt idx="43">
                  <c:v>4.8736062821261679E-3</c:v>
                </c:pt>
                <c:pt idx="44">
                  <c:v>4.8188886018994785E-3</c:v>
                </c:pt>
                <c:pt idx="45">
                  <c:v>4.7663468656291199E-3</c:v>
                </c:pt>
                <c:pt idx="46">
                  <c:v>4.7158643454857955E-3</c:v>
                </c:pt>
                <c:pt idx="47">
                  <c:v>4.6673318349098698E-3</c:v>
                </c:pt>
                <c:pt idx="48">
                  <c:v>4.6206470996275218E-3</c:v>
                </c:pt>
                <c:pt idx="49">
                  <c:v>4.5757143727774485E-3</c:v>
                </c:pt>
                <c:pt idx="50">
                  <c:v>4.5324438902392588E-3</c:v>
                </c:pt>
                <c:pt idx="51">
                  <c:v>4.4907514626531132E-3</c:v>
                </c:pt>
                <c:pt idx="52">
                  <c:v>4.4505580809686618E-3</c:v>
                </c:pt>
                <c:pt idx="53">
                  <c:v>4.4117895526677442E-3</c:v>
                </c:pt>
                <c:pt idx="54">
                  <c:v>4.3743761660760497E-3</c:v>
                </c:pt>
                <c:pt idx="55">
                  <c:v>4.338252380419098E-3</c:v>
                </c:pt>
                <c:pt idx="56">
                  <c:v>4.3033565394920738E-3</c:v>
                </c:pt>
                <c:pt idx="57">
                  <c:v>4.2696306070044545E-3</c:v>
                </c:pt>
                <c:pt idx="58">
                  <c:v>4.2370199218323299E-3</c:v>
                </c:pt>
                <c:pt idx="59">
                  <c:v>4.205472971566023E-3</c:v>
                </c:pt>
                <c:pt idx="60">
                  <c:v>4.1749411828803443E-3</c:v>
                </c:pt>
                <c:pt idx="61">
                  <c:v>4.1453787273812177E-3</c:v>
                </c:pt>
                <c:pt idx="62">
                  <c:v>4.1167423416970019E-3</c:v>
                </c:pt>
                <c:pt idx="63">
                  <c:v>4.0889911605011403E-3</c:v>
                </c:pt>
                <c:pt idx="64">
                  <c:v>4.0620865626292231E-3</c:v>
                </c:pt>
                <c:pt idx="65">
                  <c:v>4.0359920261174714E-3</c:v>
                </c:pt>
                <c:pt idx="66">
                  <c:v>4.0106729959675956E-3</c:v>
                </c:pt>
                <c:pt idx="67">
                  <c:v>3.986096760002774E-3</c:v>
                </c:pt>
                <c:pt idx="68">
                  <c:v>3.9622323337833859E-3</c:v>
                </c:pt>
                <c:pt idx="69">
                  <c:v>3.939050353593457E-3</c:v>
                </c:pt>
                <c:pt idx="70">
                  <c:v>3.9165229768815223E-3</c:v>
                </c:pt>
                <c:pt idx="71">
                  <c:v>3.8946237895896426E-3</c:v>
                </c:pt>
                <c:pt idx="72">
                  <c:v>3.8733277198500565E-3</c:v>
                </c:pt>
                <c:pt idx="73">
                  <c:v>3.8526109575709568E-3</c:v>
                </c:pt>
                <c:pt idx="74">
                  <c:v>3.8324508794711702E-3</c:v>
                </c:pt>
                <c:pt idx="75">
                  <c:v>3.8128259791587373E-3</c:v>
                </c:pt>
                <c:pt idx="76">
                  <c:v>3.7937158018806118E-3</c:v>
                </c:pt>
                <c:pt idx="77">
                  <c:v>3.7751008836002047E-3</c:v>
                </c:pt>
                <c:pt idx="78">
                  <c:v>3.7569626940865608E-3</c:v>
                </c:pt>
                <c:pt idx="79">
                  <c:v>3.7392835837238366E-3</c:v>
                </c:pt>
                <c:pt idx="80">
                  <c:v>3.7220467337724821E-3</c:v>
                </c:pt>
                <c:pt idx="81">
                  <c:v>3.7052361098344482E-3</c:v>
                </c:pt>
                <c:pt idx="82">
                  <c:v>3.6888364182939039E-3</c:v>
                </c:pt>
                <c:pt idx="83">
                  <c:v>3.6728330655226085E-3</c:v>
                </c:pt>
                <c:pt idx="84">
                  <c:v>3.6572121196551946E-3</c:v>
                </c:pt>
                <c:pt idx="85">
                  <c:v>3.6419602747545425E-3</c:v>
                </c:pt>
                <c:pt idx="86">
                  <c:v>3.6270648172010236E-3</c:v>
                </c:pt>
                <c:pt idx="87">
                  <c:v>3.6125135941520218E-3</c:v>
                </c:pt>
                <c:pt idx="88">
                  <c:v>3.5982949839295808E-3</c:v>
                </c:pt>
                <c:pt idx="89">
                  <c:v>3.5843978682047525E-3</c:v>
                </c:pt>
                <c:pt idx="90">
                  <c:v>3.5708116058569281E-3</c:v>
                </c:pt>
                <c:pt idx="91">
                  <c:v>3.5575260083954463E-3</c:v>
                </c:pt>
                <c:pt idx="92">
                  <c:v>3.5445313168390759E-3</c:v>
                </c:pt>
                <c:pt idx="93">
                  <c:v>3.5318181799565583E-3</c:v>
                </c:pt>
                <c:pt idx="94">
                  <c:v>3.5193776337784956E-3</c:v>
                </c:pt>
                <c:pt idx="95">
                  <c:v>3.5072010822972794E-3</c:v>
                </c:pt>
                <c:pt idx="96">
                  <c:v>3.4952802795778187E-3</c:v>
                </c:pt>
                <c:pt idx="97">
                  <c:v>3.4836073115528461E-3</c:v>
                </c:pt>
                <c:pt idx="98">
                  <c:v>3.4721745812643654E-3</c:v>
                </c:pt>
                <c:pt idx="99">
                  <c:v>3.460974792737027E-3</c:v>
                </c:pt>
                <c:pt idx="100">
                  <c:v>3.4500009367607908E-3</c:v>
                </c:pt>
              </c:numCache>
            </c:numRef>
          </c:xVal>
          <c:yVal>
            <c:numRef>
              <c:f>HagedornBrown!$F$24:$F$124</c:f>
              <c:numCache>
                <c:formatCode>0.00</c:formatCode>
                <c:ptCount val="101"/>
                <c:pt idx="0">
                  <c:v>0.92206679176749995</c:v>
                </c:pt>
                <c:pt idx="1">
                  <c:v>0.92206679176749995</c:v>
                </c:pt>
                <c:pt idx="2">
                  <c:v>0.91699641936720766</c:v>
                </c:pt>
                <c:pt idx="3">
                  <c:v>0.91197943805291082</c:v>
                </c:pt>
                <c:pt idx="4">
                  <c:v>0.90702014644583007</c:v>
                </c:pt>
                <c:pt idx="5">
                  <c:v>0.902121991706899</c:v>
                </c:pt>
                <c:pt idx="6">
                  <c:v>0.89728775806635264</c:v>
                </c:pt>
                <c:pt idx="7">
                  <c:v>0.89251970870311736</c:v>
                </c:pt>
                <c:pt idx="8">
                  <c:v>0.8878196919288146</c:v>
                </c:pt>
                <c:pt idx="9">
                  <c:v>0.88318922046802495</c:v>
                </c:pt>
                <c:pt idx="10">
                  <c:v>0.87862953007209144</c:v>
                </c:pt>
                <c:pt idx="11">
                  <c:v>0.87414162237448945</c:v>
                </c:pt>
                <c:pt idx="12">
                  <c:v>0.86972629576677618</c:v>
                </c:pt>
                <c:pt idx="13">
                  <c:v>0.8653841672530459</c:v>
                </c:pt>
                <c:pt idx="14">
                  <c:v>0.86111568761826884</c:v>
                </c:pt>
                <c:pt idx="15">
                  <c:v>0.85692115176571659</c:v>
                </c:pt>
                <c:pt idx="16">
                  <c:v>0.85280070569930111</c:v>
                </c:pt>
                <c:pt idx="17">
                  <c:v>0.84875435132157107</c:v>
                </c:pt>
                <c:pt idx="18">
                  <c:v>0.84478194996741474</c:v>
                </c:pt>
                <c:pt idx="19">
                  <c:v>0.84088322538422566</c:v>
                </c:pt>
                <c:pt idx="20">
                  <c:v>0.83705776669298992</c:v>
                </c:pt>
                <c:pt idx="21">
                  <c:v>0.83330503171489967</c:v>
                </c:pt>
                <c:pt idx="22">
                  <c:v>0.82962435092187492</c:v>
                </c:pt>
                <c:pt idx="23">
                  <c:v>0.82601493216346644</c:v>
                </c:pt>
                <c:pt idx="24">
                  <c:v>0.82247586623536839</c:v>
                </c:pt>
                <c:pt idx="25">
                  <c:v>0.819006133285061</c:v>
                </c:pt>
                <c:pt idx="26">
                  <c:v>0.81560460999596673</c:v>
                </c:pt>
                <c:pt idx="27">
                  <c:v>0.81227007745196944</c:v>
                </c:pt>
                <c:pt idx="28">
                  <c:v>0.80900122955745601</c:v>
                </c:pt>
                <c:pt idx="29">
                  <c:v>0.80579668187227538</c:v>
                </c:pt>
                <c:pt idx="30">
                  <c:v>0.80265498071523522</c:v>
                </c:pt>
                <c:pt idx="31">
                  <c:v>0.79957461239108718</c:v>
                </c:pt>
                <c:pt idx="32">
                  <c:v>0.79655401240374424</c:v>
                </c:pt>
                <c:pt idx="33">
                  <c:v>0.79359157453043172</c:v>
                </c:pt>
                <c:pt idx="34">
                  <c:v>0.79068565964637438</c:v>
                </c:pt>
                <c:pt idx="35">
                  <c:v>0.78783460420647067</c:v>
                </c:pt>
                <c:pt idx="36">
                  <c:v>0.78503672830741822</c:v>
                </c:pt>
                <c:pt idx="37">
                  <c:v>0.78229034327122426</c:v>
                </c:pt>
                <c:pt idx="38">
                  <c:v>0.77959375870687297</c:v>
                </c:pt>
                <c:pt idx="39">
                  <c:v>0.77694528902229776</c:v>
                </c:pt>
                <c:pt idx="40">
                  <c:v>0.77434325937170756</c:v>
                </c:pt>
                <c:pt idx="41">
                  <c:v>0.77178601103539912</c:v>
                </c:pt>
                <c:pt idx="42">
                  <c:v>0.76867614150102703</c:v>
                </c:pt>
                <c:pt idx="43">
                  <c:v>0.76558294182023567</c:v>
                </c:pt>
                <c:pt idx="44">
                  <c:v>0.76255235843935254</c:v>
                </c:pt>
                <c:pt idx="45">
                  <c:v>0.75958300435047132</c:v>
                </c:pt>
                <c:pt idx="46">
                  <c:v>0.75667348747931806</c:v>
                </c:pt>
                <c:pt idx="47">
                  <c:v>0.75382241599327549</c:v>
                </c:pt>
                <c:pt idx="48">
                  <c:v>0.75102840296952522</c:v>
                </c:pt>
                <c:pt idx="49">
                  <c:v>0.74829007047431617</c:v>
                </c:pt>
                <c:pt idx="50">
                  <c:v>0.74560605310300343</c:v>
                </c:pt>
                <c:pt idx="51">
                  <c:v>0.7429750010286954</c:v>
                </c:pt>
                <c:pt idx="52">
                  <c:v>0.74039558260515237</c:v>
                </c:pt>
                <c:pt idx="53">
                  <c:v>0.73786648656692633</c:v>
                </c:pt>
                <c:pt idx="54">
                  <c:v>0.73538642386731301</c:v>
                </c:pt>
                <c:pt idx="55">
                  <c:v>0.73295412919164649</c:v>
                </c:pt>
                <c:pt idx="56">
                  <c:v>0.73056836218083787</c:v>
                </c:pt>
                <c:pt idx="57">
                  <c:v>0.72822790839733575</c:v>
                </c:pt>
                <c:pt idx="58">
                  <c:v>0.72593158006289049</c:v>
                </c:pt>
                <c:pt idx="59">
                  <c:v>0.72367821659504283</c:v>
                </c:pt>
                <c:pt idx="60">
                  <c:v>0.72146668496672783</c:v>
                </c:pt>
                <c:pt idx="61">
                  <c:v>0.71929587991110977</c:v>
                </c:pt>
                <c:pt idx="62">
                  <c:v>0.71716472399173026</c:v>
                </c:pt>
                <c:pt idx="63">
                  <c:v>0.71507216754378122</c:v>
                </c:pt>
                <c:pt idx="64">
                  <c:v>0.71301718857974583</c:v>
                </c:pt>
                <c:pt idx="65">
                  <c:v>0.7109987924663842</c:v>
                </c:pt>
                <c:pt idx="66">
                  <c:v>0.7090160116858546</c:v>
                </c:pt>
                <c:pt idx="67">
                  <c:v>0.7070679054464738</c:v>
                </c:pt>
                <c:pt idx="68">
                  <c:v>0.70515355926185663</c:v>
                </c:pt>
                <c:pt idx="69">
                  <c:v>0.70327208448723444</c:v>
                </c:pt>
                <c:pt idx="70">
                  <c:v>0.70142261782081483</c:v>
                </c:pt>
                <c:pt idx="71">
                  <c:v>0.69960432077719392</c:v>
                </c:pt>
                <c:pt idx="72">
                  <c:v>0.69781637913887917</c:v>
                </c:pt>
                <c:pt idx="73">
                  <c:v>0.69605800239147075</c:v>
                </c:pt>
                <c:pt idx="74">
                  <c:v>0.69432842314690824</c:v>
                </c:pt>
                <c:pt idx="75">
                  <c:v>0.69262689655907261</c:v>
                </c:pt>
                <c:pt idx="76">
                  <c:v>0.69095269973518714</c:v>
                </c:pt>
                <c:pt idx="77">
                  <c:v>0.6893051311460151</c:v>
                </c:pt>
                <c:pt idx="78">
                  <c:v>0.68768351003754569</c:v>
                </c:pt>
                <c:pt idx="79">
                  <c:v>0.68608717584637091</c:v>
                </c:pt>
                <c:pt idx="80">
                  <c:v>0.68451548762061176</c:v>
                </c:pt>
                <c:pt idx="81">
                  <c:v>0.68296782344805118</c:v>
                </c:pt>
                <c:pt idx="82">
                  <c:v>0.68144357989276172</c:v>
                </c:pt>
                <c:pt idx="83">
                  <c:v>0.67994217144139157</c:v>
                </c:pt>
                <c:pt idx="84">
                  <c:v>0.67846302995996577</c:v>
                </c:pt>
                <c:pt idx="85">
                  <c:v>0.67700560416192535</c:v>
                </c:pt>
                <c:pt idx="86">
                  <c:v>0.67556935908804627</c:v>
                </c:pt>
                <c:pt idx="87">
                  <c:v>0.67415377559860923</c:v>
                </c:pt>
                <c:pt idx="88">
                  <c:v>0.67275834987816641</c:v>
                </c:pt>
                <c:pt idx="89">
                  <c:v>0.67138259295314717</c:v>
                </c:pt>
                <c:pt idx="90">
                  <c:v>0.67002603022240126</c:v>
                </c:pt>
                <c:pt idx="91">
                  <c:v>0.66868820100078452</c:v>
                </c:pt>
                <c:pt idx="92">
                  <c:v>0.66736865807565526</c:v>
                </c:pt>
                <c:pt idx="93">
                  <c:v>0.66606696727647785</c:v>
                </c:pt>
                <c:pt idx="94">
                  <c:v>0.66478270705710008</c:v>
                </c:pt>
                <c:pt idx="95">
                  <c:v>0.66351546809081263</c:v>
                </c:pt>
                <c:pt idx="96">
                  <c:v>0.662264852902965</c:v>
                </c:pt>
                <c:pt idx="97">
                  <c:v>0.6610304754027625</c:v>
                </c:pt>
                <c:pt idx="98">
                  <c:v>0.6598119606335251</c:v>
                </c:pt>
                <c:pt idx="99">
                  <c:v>0.65860894434481021</c:v>
                </c:pt>
                <c:pt idx="100">
                  <c:v>0.65742107266409833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56-43D1-BFC1-CADF96388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6019440"/>
        <c:axId val="706019920"/>
      </c:scatterChart>
      <c:valAx>
        <c:axId val="70601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HagedornBrown!$H$23</c:f>
              <c:strCache>
                <c:ptCount val="1"/>
                <c:pt idx="0">
                  <c:v>USG ft/s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019920"/>
        <c:crosses val="autoZero"/>
        <c:crossBetween val="midCat"/>
      </c:valAx>
      <c:valAx>
        <c:axId val="70601992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HagedornBrown!$F$23</c:f>
              <c:strCache>
                <c:ptCount val="1"/>
                <c:pt idx="0">
                  <c:v>LHOLDUP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01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HagedornBrown!$F$25:$F$125</c:f>
              <c:numCache>
                <c:formatCode>0.00</c:formatCode>
                <c:ptCount val="101"/>
                <c:pt idx="0">
                  <c:v>0.92206679176749995</c:v>
                </c:pt>
                <c:pt idx="1">
                  <c:v>0.91699641936720766</c:v>
                </c:pt>
                <c:pt idx="2">
                  <c:v>0.91197943805291082</c:v>
                </c:pt>
                <c:pt idx="3">
                  <c:v>0.90702014644583007</c:v>
                </c:pt>
                <c:pt idx="4">
                  <c:v>0.902121991706899</c:v>
                </c:pt>
                <c:pt idx="5">
                  <c:v>0.89728775806635264</c:v>
                </c:pt>
                <c:pt idx="6">
                  <c:v>0.89251970870311736</c:v>
                </c:pt>
                <c:pt idx="7">
                  <c:v>0.8878196919288146</c:v>
                </c:pt>
                <c:pt idx="8">
                  <c:v>0.88318922046802495</c:v>
                </c:pt>
                <c:pt idx="9">
                  <c:v>0.87862953007209144</c:v>
                </c:pt>
                <c:pt idx="10">
                  <c:v>0.87414162237448945</c:v>
                </c:pt>
                <c:pt idx="11">
                  <c:v>0.86972629576677618</c:v>
                </c:pt>
                <c:pt idx="12">
                  <c:v>0.8653841672530459</c:v>
                </c:pt>
                <c:pt idx="13">
                  <c:v>0.86111568761826884</c:v>
                </c:pt>
                <c:pt idx="14">
                  <c:v>0.85692115176571659</c:v>
                </c:pt>
                <c:pt idx="15">
                  <c:v>0.85280070569930111</c:v>
                </c:pt>
                <c:pt idx="16">
                  <c:v>0.84875435132157107</c:v>
                </c:pt>
                <c:pt idx="17">
                  <c:v>0.84478194996741474</c:v>
                </c:pt>
                <c:pt idx="18">
                  <c:v>0.84088322538422566</c:v>
                </c:pt>
                <c:pt idx="19">
                  <c:v>0.83705776669298992</c:v>
                </c:pt>
                <c:pt idx="20">
                  <c:v>0.83330503171489967</c:v>
                </c:pt>
                <c:pt idx="21">
                  <c:v>0.82962435092187492</c:v>
                </c:pt>
                <c:pt idx="22">
                  <c:v>0.82601493216346644</c:v>
                </c:pt>
                <c:pt idx="23">
                  <c:v>0.82247586623536839</c:v>
                </c:pt>
                <c:pt idx="24">
                  <c:v>0.819006133285061</c:v>
                </c:pt>
                <c:pt idx="25">
                  <c:v>0.81560460999596673</c:v>
                </c:pt>
                <c:pt idx="26">
                  <c:v>0.81227007745196944</c:v>
                </c:pt>
                <c:pt idx="27">
                  <c:v>0.80900122955745601</c:v>
                </c:pt>
                <c:pt idx="28">
                  <c:v>0.80579668187227538</c:v>
                </c:pt>
                <c:pt idx="29">
                  <c:v>0.80265498071523522</c:v>
                </c:pt>
                <c:pt idx="30">
                  <c:v>0.79957461239108718</c:v>
                </c:pt>
                <c:pt idx="31">
                  <c:v>0.79655401240374424</c:v>
                </c:pt>
                <c:pt idx="32">
                  <c:v>0.79359157453043172</c:v>
                </c:pt>
                <c:pt idx="33">
                  <c:v>0.79068565964637438</c:v>
                </c:pt>
                <c:pt idx="34">
                  <c:v>0.78783460420647067</c:v>
                </c:pt>
                <c:pt idx="35">
                  <c:v>0.78503672830741822</c:v>
                </c:pt>
                <c:pt idx="36">
                  <c:v>0.78229034327122426</c:v>
                </c:pt>
                <c:pt idx="37">
                  <c:v>0.77959375870687297</c:v>
                </c:pt>
                <c:pt idx="38">
                  <c:v>0.77694528902229776</c:v>
                </c:pt>
                <c:pt idx="39">
                  <c:v>0.77434325937170756</c:v>
                </c:pt>
                <c:pt idx="40">
                  <c:v>0.77178601103539912</c:v>
                </c:pt>
                <c:pt idx="41">
                  <c:v>0.76867614150102703</c:v>
                </c:pt>
                <c:pt idx="42">
                  <c:v>0.76558294182023567</c:v>
                </c:pt>
                <c:pt idx="43">
                  <c:v>0.76255235843935254</c:v>
                </c:pt>
                <c:pt idx="44">
                  <c:v>0.75958300435047132</c:v>
                </c:pt>
                <c:pt idx="45">
                  <c:v>0.75667348747931806</c:v>
                </c:pt>
                <c:pt idx="46">
                  <c:v>0.75382241599327549</c:v>
                </c:pt>
                <c:pt idx="47">
                  <c:v>0.75102840296952522</c:v>
                </c:pt>
                <c:pt idx="48">
                  <c:v>0.74829007047431617</c:v>
                </c:pt>
                <c:pt idx="49">
                  <c:v>0.74560605310300343</c:v>
                </c:pt>
                <c:pt idx="50">
                  <c:v>0.7429750010286954</c:v>
                </c:pt>
                <c:pt idx="51">
                  <c:v>0.74039558260515237</c:v>
                </c:pt>
                <c:pt idx="52">
                  <c:v>0.73786648656692633</c:v>
                </c:pt>
                <c:pt idx="53">
                  <c:v>0.73538642386731301</c:v>
                </c:pt>
                <c:pt idx="54">
                  <c:v>0.73295412919164649</c:v>
                </c:pt>
                <c:pt idx="55">
                  <c:v>0.73056836218083787</c:v>
                </c:pt>
                <c:pt idx="56">
                  <c:v>0.72822790839733575</c:v>
                </c:pt>
                <c:pt idx="57">
                  <c:v>0.72593158006289049</c:v>
                </c:pt>
                <c:pt idx="58">
                  <c:v>0.72367821659504283</c:v>
                </c:pt>
                <c:pt idx="59">
                  <c:v>0.72146668496672783</c:v>
                </c:pt>
                <c:pt idx="60">
                  <c:v>0.71929587991110977</c:v>
                </c:pt>
                <c:pt idx="61">
                  <c:v>0.71716472399173026</c:v>
                </c:pt>
                <c:pt idx="62">
                  <c:v>0.71507216754378122</c:v>
                </c:pt>
                <c:pt idx="63">
                  <c:v>0.71301718857974583</c:v>
                </c:pt>
                <c:pt idx="64">
                  <c:v>0.7109987924663842</c:v>
                </c:pt>
                <c:pt idx="65">
                  <c:v>0.7090160116858546</c:v>
                </c:pt>
                <c:pt idx="66">
                  <c:v>0.7070679054464738</c:v>
                </c:pt>
                <c:pt idx="67">
                  <c:v>0.70515355926185663</c:v>
                </c:pt>
                <c:pt idx="68">
                  <c:v>0.70327208448723444</c:v>
                </c:pt>
                <c:pt idx="69">
                  <c:v>0.70142261782081483</c:v>
                </c:pt>
                <c:pt idx="70">
                  <c:v>0.69960432077719392</c:v>
                </c:pt>
                <c:pt idx="71">
                  <c:v>0.69781637913887917</c:v>
                </c:pt>
                <c:pt idx="72">
                  <c:v>0.69605800239147075</c:v>
                </c:pt>
                <c:pt idx="73">
                  <c:v>0.69432842314690824</c:v>
                </c:pt>
                <c:pt idx="74">
                  <c:v>0.69262689655907261</c:v>
                </c:pt>
                <c:pt idx="75">
                  <c:v>0.69095269973518714</c:v>
                </c:pt>
                <c:pt idx="76">
                  <c:v>0.6893051311460151</c:v>
                </c:pt>
                <c:pt idx="77">
                  <c:v>0.68768351003754569</c:v>
                </c:pt>
                <c:pt idx="78">
                  <c:v>0.68608717584637091</c:v>
                </c:pt>
                <c:pt idx="79">
                  <c:v>0.68451548762061176</c:v>
                </c:pt>
                <c:pt idx="80">
                  <c:v>0.68296782344805118</c:v>
                </c:pt>
                <c:pt idx="81">
                  <c:v>0.68144357989276172</c:v>
                </c:pt>
                <c:pt idx="82">
                  <c:v>0.67994217144139157</c:v>
                </c:pt>
                <c:pt idx="83">
                  <c:v>0.67846302995996577</c:v>
                </c:pt>
                <c:pt idx="84">
                  <c:v>0.67700560416192535</c:v>
                </c:pt>
                <c:pt idx="85">
                  <c:v>0.67556935908804627</c:v>
                </c:pt>
                <c:pt idx="86">
                  <c:v>0.67415377559860923</c:v>
                </c:pt>
                <c:pt idx="87">
                  <c:v>0.67275834987816641</c:v>
                </c:pt>
                <c:pt idx="88">
                  <c:v>0.67138259295314717</c:v>
                </c:pt>
                <c:pt idx="89">
                  <c:v>0.67002603022240126</c:v>
                </c:pt>
                <c:pt idx="90">
                  <c:v>0.66868820100078452</c:v>
                </c:pt>
                <c:pt idx="91">
                  <c:v>0.66736865807565526</c:v>
                </c:pt>
                <c:pt idx="92">
                  <c:v>0.66606696727647785</c:v>
                </c:pt>
                <c:pt idx="93">
                  <c:v>0.66478270705710008</c:v>
                </c:pt>
                <c:pt idx="94">
                  <c:v>0.66351546809081263</c:v>
                </c:pt>
                <c:pt idx="95">
                  <c:v>0.662264852902965</c:v>
                </c:pt>
                <c:pt idx="96">
                  <c:v>0.6610304754027625</c:v>
                </c:pt>
                <c:pt idx="97">
                  <c:v>0.6598119606335251</c:v>
                </c:pt>
                <c:pt idx="98">
                  <c:v>0.65860894434481021</c:v>
                </c:pt>
                <c:pt idx="99">
                  <c:v>0.65742107266409833</c:v>
                </c:pt>
              </c:numCache>
            </c:numRef>
          </c:xVal>
          <c:yVal>
            <c:numRef>
              <c:f>HagedornBrown!$B$24:$B$124</c:f>
              <c:numCache>
                <c:formatCode>#,##0.0</c:formatCode>
                <c:ptCount val="10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D5-4958-A97A-128823DA0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7506912"/>
        <c:axId val="1907504512"/>
      </c:scatterChart>
      <c:valAx>
        <c:axId val="1907506912"/>
        <c:scaling>
          <c:orientation val="minMax"/>
          <c:max val="1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HagedornBrown!$F$23</c:f>
              <c:strCache>
                <c:ptCount val="1"/>
                <c:pt idx="0">
                  <c:v>LHOLDUP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504512"/>
        <c:crosses val="autoZero"/>
        <c:crossBetween val="midCat"/>
      </c:valAx>
      <c:valAx>
        <c:axId val="1907504512"/>
        <c:scaling>
          <c:orientation val="maxMin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HagedornBrown!$B$23</c:f>
              <c:strCache>
                <c:ptCount val="1"/>
                <c:pt idx="0">
                  <c:v>Depth ft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50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30424321959754"/>
                  <c:y val="-0.46737569262175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GVF!$E$6:$E$14</c:f>
              <c:numCache>
                <c:formatCode>0.00%</c:formatCode>
                <c:ptCount val="9"/>
                <c:pt idx="0">
                  <c:v>5.0000000447654035E-2</c:v>
                </c:pt>
                <c:pt idx="1">
                  <c:v>0.10000000006488868</c:v>
                </c:pt>
                <c:pt idx="2">
                  <c:v>0.14995533705513092</c:v>
                </c:pt>
                <c:pt idx="3">
                  <c:v>0.20000000062391649</c:v>
                </c:pt>
                <c:pt idx="4">
                  <c:v>0.24957319478613779</c:v>
                </c:pt>
                <c:pt idx="5">
                  <c:v>0.29978937886731127</c:v>
                </c:pt>
                <c:pt idx="6">
                  <c:v>0.34964637025256229</c:v>
                </c:pt>
                <c:pt idx="7">
                  <c:v>0.40029985101107074</c:v>
                </c:pt>
                <c:pt idx="8">
                  <c:v>0.45007534931881166</c:v>
                </c:pt>
              </c:numCache>
            </c:numRef>
          </c:xVal>
          <c:yVal>
            <c:numRef>
              <c:f>GVF!$D$6:$D$14</c:f>
              <c:numCache>
                <c:formatCode>General</c:formatCode>
                <c:ptCount val="9"/>
                <c:pt idx="0">
                  <c:v>3380383.6909760544</c:v>
                </c:pt>
                <c:pt idx="1">
                  <c:v>6343436.0068696318</c:v>
                </c:pt>
                <c:pt idx="2">
                  <c:v>8812422.436802078</c:v>
                </c:pt>
                <c:pt idx="3">
                  <c:v>10704548.295616833</c:v>
                </c:pt>
                <c:pt idx="4">
                  <c:v>11866883.787111493</c:v>
                </c:pt>
                <c:pt idx="5">
                  <c:v>12221503.169596095</c:v>
                </c:pt>
                <c:pt idx="6">
                  <c:v>11510065.511940602</c:v>
                </c:pt>
                <c:pt idx="7">
                  <c:v>9527047.98309898</c:v>
                </c:pt>
                <c:pt idx="8">
                  <c:v>5840622.3333746726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D0-4FA3-BA6C-47150726F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250640"/>
        <c:axId val="494247760"/>
      </c:scatterChart>
      <c:valAx>
        <c:axId val="494250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247760"/>
        <c:crosses val="autoZero"/>
        <c:crossBetween val="midCat"/>
      </c:valAx>
      <c:valAx>
        <c:axId val="49424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250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GVF!$E$18</c:f>
              <c:strCache>
                <c:ptCount val="1"/>
                <c:pt idx="0">
                  <c:v>GVF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GVF!$C$19:$C$28</c:f>
              <c:numCache>
                <c:formatCode>0</c:formatCode>
                <c:ptCount val="10"/>
                <c:pt idx="0">
                  <c:v>20</c:v>
                </c:pt>
                <c:pt idx="1">
                  <c:v>75.119637577245655</c:v>
                </c:pt>
                <c:pt idx="2">
                  <c:v>158.5859001717408</c:v>
                </c:pt>
                <c:pt idx="3">
                  <c:v>251.7834981943451</c:v>
                </c:pt>
                <c:pt idx="4">
                  <c:v>356.81827652056114</c:v>
                </c:pt>
                <c:pt idx="5">
                  <c:v>474.67535148445972</c:v>
                </c:pt>
                <c:pt idx="6">
                  <c:v>611.07515847980471</c:v>
                </c:pt>
                <c:pt idx="7">
                  <c:v>767.33770079604017</c:v>
                </c:pt>
                <c:pt idx="8">
                  <c:v>952.70479830989802</c:v>
                </c:pt>
                <c:pt idx="9">
                  <c:v>1168.1244666749344</c:v>
                </c:pt>
              </c:numCache>
            </c:numRef>
          </c:xVal>
          <c:yVal>
            <c:numRef>
              <c:f>GVF!$E$19:$E$28</c:f>
              <c:numCache>
                <c:formatCode>0%</c:formatCode>
                <c:ptCount val="10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D-44BB-94CD-EDA32DA730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039440"/>
        <c:axId val="494023120"/>
      </c:scatterChart>
      <c:valAx>
        <c:axId val="49403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023120"/>
        <c:crosses val="autoZero"/>
        <c:crossBetween val="midCat"/>
      </c:valAx>
      <c:valAx>
        <c:axId val="49402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03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GVF!$D$18</c:f>
              <c:strCache>
                <c:ptCount val="1"/>
                <c:pt idx="0">
                  <c:v>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GVF!$C$19:$C$28</c:f>
              <c:numCache>
                <c:formatCode>0</c:formatCode>
                <c:ptCount val="10"/>
                <c:pt idx="0">
                  <c:v>20</c:v>
                </c:pt>
                <c:pt idx="1">
                  <c:v>75.119637577245655</c:v>
                </c:pt>
                <c:pt idx="2">
                  <c:v>158.5859001717408</c:v>
                </c:pt>
                <c:pt idx="3">
                  <c:v>251.7834981943451</c:v>
                </c:pt>
                <c:pt idx="4">
                  <c:v>356.81827652056114</c:v>
                </c:pt>
                <c:pt idx="5">
                  <c:v>474.67535148445972</c:v>
                </c:pt>
                <c:pt idx="6">
                  <c:v>611.07515847980471</c:v>
                </c:pt>
                <c:pt idx="7">
                  <c:v>767.33770079604017</c:v>
                </c:pt>
                <c:pt idx="8">
                  <c:v>952.70479830989802</c:v>
                </c:pt>
                <c:pt idx="9">
                  <c:v>1168.1244666749344</c:v>
                </c:pt>
              </c:numCache>
            </c:numRef>
          </c:xVal>
          <c:yVal>
            <c:numRef>
              <c:f>GVF!$D$19:$D$28</c:f>
              <c:numCache>
                <c:formatCode>General</c:formatCode>
                <c:ptCount val="10"/>
                <c:pt idx="0">
                  <c:v>50000</c:v>
                </c:pt>
                <c:pt idx="1">
                  <c:v>45000</c:v>
                </c:pt>
                <c:pt idx="2">
                  <c:v>40000</c:v>
                </c:pt>
                <c:pt idx="3">
                  <c:v>35000</c:v>
                </c:pt>
                <c:pt idx="4">
                  <c:v>30000</c:v>
                </c:pt>
                <c:pt idx="5">
                  <c:v>25000</c:v>
                </c:pt>
                <c:pt idx="6">
                  <c:v>20000</c:v>
                </c:pt>
                <c:pt idx="7">
                  <c:v>15000</c:v>
                </c:pt>
                <c:pt idx="8">
                  <c:v>10000</c:v>
                </c:pt>
                <c:pt idx="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7-4251-9AE6-AEF9E78D9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275600"/>
        <c:axId val="494276080"/>
      </c:scatterChart>
      <c:valAx>
        <c:axId val="494275600"/>
        <c:scaling>
          <c:logBase val="10"/>
          <c:orientation val="minMax"/>
          <c:max val="10000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276080"/>
        <c:crosses val="autoZero"/>
        <c:crossBetween val="midCat"/>
      </c:valAx>
      <c:valAx>
        <c:axId val="494276080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275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tx>
            <c:strRef>
              <c:f>TurnerAll!$B$10</c:f>
              <c:strCache>
                <c:ptCount val="1"/>
                <c:pt idx="0">
                  <c:v>250 psig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TurnerAll!$E$4:$N$4</c:f>
              <c:numCache>
                <c:formatCode>#\ ?/?</c:formatCode>
                <c:ptCount val="10"/>
                <c:pt idx="0">
                  <c:v>1.25</c:v>
                </c:pt>
                <c:pt idx="1">
                  <c:v>1.5</c:v>
                </c:pt>
                <c:pt idx="2">
                  <c:v>1.75</c:v>
                </c:pt>
                <c:pt idx="3">
                  <c:v>1.9</c:v>
                </c:pt>
                <c:pt idx="4">
                  <c:v>2.375</c:v>
                </c:pt>
                <c:pt idx="5">
                  <c:v>2.875</c:v>
                </c:pt>
                <c:pt idx="6">
                  <c:v>3.5</c:v>
                </c:pt>
                <c:pt idx="7">
                  <c:v>4.5</c:v>
                </c:pt>
                <c:pt idx="8">
                  <c:v>5.5</c:v>
                </c:pt>
                <c:pt idx="9">
                  <c:v>7</c:v>
                </c:pt>
              </c:numCache>
            </c:numRef>
          </c:xVal>
          <c:yVal>
            <c:numRef>
              <c:f>TurnerAll!$E$10:$N$10</c:f>
              <c:numCache>
                <c:formatCode>#,##0</c:formatCode>
                <c:ptCount val="10"/>
                <c:pt idx="0">
                  <c:v>203195.3372119285</c:v>
                </c:pt>
                <c:pt idx="1">
                  <c:v>292601.28558517707</c:v>
                </c:pt>
                <c:pt idx="2">
                  <c:v>398262.86093537987</c:v>
                </c:pt>
                <c:pt idx="3">
                  <c:v>469462.50709443953</c:v>
                </c:pt>
                <c:pt idx="4">
                  <c:v>733535.16733506171</c:v>
                </c:pt>
                <c:pt idx="5">
                  <c:v>1074903.3338511016</c:v>
                </c:pt>
                <c:pt idx="6">
                  <c:v>1593051.4437415195</c:v>
                </c:pt>
                <c:pt idx="7">
                  <c:v>2633411.5702665932</c:v>
                </c:pt>
                <c:pt idx="8">
                  <c:v>3933861.7284229347</c:v>
                </c:pt>
                <c:pt idx="9">
                  <c:v>6372205.7749660779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49-4923-9A7E-E848BC3B1E1F}"/>
            </c:ext>
          </c:extLst>
        </c:ser>
        <c:ser>
          <c:idx val="1"/>
          <c:order val="1"/>
          <c:tx>
            <c:strRef>
              <c:f>TurnerAll!$B$9</c:f>
              <c:strCache>
                <c:ptCount val="1"/>
                <c:pt idx="0">
                  <c:v>100 psig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TurnerAll!$E$4:$N$4</c:f>
              <c:numCache>
                <c:formatCode>#\ ?/?</c:formatCode>
                <c:ptCount val="10"/>
                <c:pt idx="0">
                  <c:v>1.25</c:v>
                </c:pt>
                <c:pt idx="1">
                  <c:v>1.5</c:v>
                </c:pt>
                <c:pt idx="2">
                  <c:v>1.75</c:v>
                </c:pt>
                <c:pt idx="3">
                  <c:v>1.9</c:v>
                </c:pt>
                <c:pt idx="4">
                  <c:v>2.375</c:v>
                </c:pt>
                <c:pt idx="5">
                  <c:v>2.875</c:v>
                </c:pt>
                <c:pt idx="6">
                  <c:v>3.5</c:v>
                </c:pt>
                <c:pt idx="7">
                  <c:v>4.5</c:v>
                </c:pt>
                <c:pt idx="8">
                  <c:v>5.5</c:v>
                </c:pt>
                <c:pt idx="9">
                  <c:v>7</c:v>
                </c:pt>
              </c:numCache>
            </c:numRef>
          </c:xVal>
          <c:yVal>
            <c:numRef>
              <c:f>TurnerAll!$E$9:$N$9</c:f>
              <c:numCache>
                <c:formatCode>#,##0</c:formatCode>
                <c:ptCount val="10"/>
                <c:pt idx="0">
                  <c:v>132716.75446773472</c:v>
                </c:pt>
                <c:pt idx="1">
                  <c:v>191112.12643353798</c:v>
                </c:pt>
                <c:pt idx="2">
                  <c:v>260124.83875676006</c:v>
                </c:pt>
                <c:pt idx="3">
                  <c:v>306628.78952225432</c:v>
                </c:pt>
                <c:pt idx="4">
                  <c:v>479107.48362852226</c:v>
                </c:pt>
                <c:pt idx="5">
                  <c:v>702071.63113431667</c:v>
                </c:pt>
                <c:pt idx="6">
                  <c:v>1040499.3550270402</c:v>
                </c:pt>
                <c:pt idx="7">
                  <c:v>1720009.1379018419</c:v>
                </c:pt>
                <c:pt idx="8">
                  <c:v>2569396.3664953439</c:v>
                </c:pt>
                <c:pt idx="9">
                  <c:v>4161997.4201081609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49-4923-9A7E-E848BC3B1E1F}"/>
            </c:ext>
          </c:extLst>
        </c:ser>
        <c:ser>
          <c:idx val="0"/>
          <c:order val="2"/>
          <c:tx>
            <c:strRef>
              <c:f>TurnerAll!$B$8</c:f>
              <c:strCache>
                <c:ptCount val="1"/>
                <c:pt idx="0">
                  <c:v>50 psig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TurnerAll!$E$4:$N$4</c:f>
              <c:numCache>
                <c:formatCode>#\ ?/?</c:formatCode>
                <c:ptCount val="10"/>
                <c:pt idx="0">
                  <c:v>1.25</c:v>
                </c:pt>
                <c:pt idx="1">
                  <c:v>1.5</c:v>
                </c:pt>
                <c:pt idx="2">
                  <c:v>1.75</c:v>
                </c:pt>
                <c:pt idx="3">
                  <c:v>1.9</c:v>
                </c:pt>
                <c:pt idx="4">
                  <c:v>2.375</c:v>
                </c:pt>
                <c:pt idx="5">
                  <c:v>2.875</c:v>
                </c:pt>
                <c:pt idx="6">
                  <c:v>3.5</c:v>
                </c:pt>
                <c:pt idx="7">
                  <c:v>4.5</c:v>
                </c:pt>
                <c:pt idx="8">
                  <c:v>5.5</c:v>
                </c:pt>
                <c:pt idx="9">
                  <c:v>7</c:v>
                </c:pt>
              </c:numCache>
            </c:numRef>
          </c:xVal>
          <c:yVal>
            <c:numRef>
              <c:f>TurnerAll!$E$8:$N$8</c:f>
              <c:numCache>
                <c:formatCode>#,##0</c:formatCode>
                <c:ptCount val="10"/>
                <c:pt idx="0">
                  <c:v>99416.829849313406</c:v>
                </c:pt>
                <c:pt idx="1">
                  <c:v>143160.23498301129</c:v>
                </c:pt>
                <c:pt idx="2">
                  <c:v>194856.98650465431</c:v>
                </c:pt>
                <c:pt idx="3">
                  <c:v>229692.64368385368</c:v>
                </c:pt>
                <c:pt idx="4">
                  <c:v>358894.75575602142</c:v>
                </c:pt>
                <c:pt idx="5">
                  <c:v>525915.02990286786</c:v>
                </c:pt>
                <c:pt idx="6">
                  <c:v>779427.94601861725</c:v>
                </c:pt>
                <c:pt idx="7">
                  <c:v>1288442.114847102</c:v>
                </c:pt>
                <c:pt idx="8">
                  <c:v>1924709.825882707</c:v>
                </c:pt>
                <c:pt idx="9">
                  <c:v>3117711.784074469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49-4923-9A7E-E848BC3B1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270271"/>
        <c:axId val="2097270751"/>
      </c:scatterChart>
      <c:valAx>
        <c:axId val="2097270271"/>
        <c:scaling>
          <c:logBase val="10"/>
          <c:orientation val="minMax"/>
          <c:max val="1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Tubing ID [inch]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\ ?/?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270751"/>
        <c:crosses val="autoZero"/>
        <c:crossBetween val="midCat"/>
      </c:valAx>
      <c:valAx>
        <c:axId val="2097270751"/>
        <c:scaling>
          <c:logBase val="10"/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TurnerAll!$E$6</c:f>
              <c:strCache>
                <c:ptCount val="1"/>
                <c:pt idx="0">
                  <c:v>qg[scf]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E+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270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TurnerALM!$H$3</c:f>
              <c:strCache>
                <c:ptCount val="1"/>
                <c:pt idx="0">
                  <c:v>2.875" 50psig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TurnerALM!$H$22:$H$38</c:f>
              <c:numCache>
                <c:formatCode>#,##0</c:formatCode>
                <c:ptCount val="17"/>
                <c:pt idx="0">
                  <c:v>70207.16311343167</c:v>
                </c:pt>
                <c:pt idx="1">
                  <c:v>14041.432622686334</c:v>
                </c:pt>
                <c:pt idx="2">
                  <c:v>7020.716311343167</c:v>
                </c:pt>
                <c:pt idx="3">
                  <c:v>3510.3581556715835</c:v>
                </c:pt>
                <c:pt idx="4">
                  <c:v>2340.2387704477223</c:v>
                </c:pt>
                <c:pt idx="5">
                  <c:v>1755.1790778357918</c:v>
                </c:pt>
                <c:pt idx="6">
                  <c:v>1404.1432622686334</c:v>
                </c:pt>
                <c:pt idx="7">
                  <c:v>1170.1193852238612</c:v>
                </c:pt>
                <c:pt idx="8">
                  <c:v>1002.9594730490238</c:v>
                </c:pt>
                <c:pt idx="9">
                  <c:v>877.58953891789588</c:v>
                </c:pt>
                <c:pt idx="10">
                  <c:v>780.07959014924074</c:v>
                </c:pt>
                <c:pt idx="11">
                  <c:v>702.0716311343167</c:v>
                </c:pt>
                <c:pt idx="12">
                  <c:v>351.03581556715835</c:v>
                </c:pt>
                <c:pt idx="13">
                  <c:v>234.02387704477223</c:v>
                </c:pt>
                <c:pt idx="14">
                  <c:v>175.51790778357918</c:v>
                </c:pt>
                <c:pt idx="15">
                  <c:v>140.41432622686332</c:v>
                </c:pt>
                <c:pt idx="16">
                  <c:v>117.01193852238612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2C2-4BFA-8961-9BB6487B101B}"/>
            </c:ext>
          </c:extLst>
        </c:ser>
        <c:ser>
          <c:idx val="3"/>
          <c:order val="1"/>
          <c:tx>
            <c:strRef>
              <c:f>TurnerALM!$H$39</c:f>
              <c:strCache>
                <c:ptCount val="1"/>
                <c:pt idx="0">
                  <c:v>2.875" 1000psig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TurnerALM!$H$40:$H$56</c:f>
              <c:numCache>
                <c:formatCode>#,##0</c:formatCode>
                <c:ptCount val="17"/>
                <c:pt idx="0">
                  <c:v>218136.93284726483</c:v>
                </c:pt>
                <c:pt idx="1">
                  <c:v>43627.386569452967</c:v>
                </c:pt>
                <c:pt idx="2">
                  <c:v>21813.693284726483</c:v>
                </c:pt>
                <c:pt idx="3">
                  <c:v>10906.846642363242</c:v>
                </c:pt>
                <c:pt idx="4">
                  <c:v>7271.2310949088278</c:v>
                </c:pt>
                <c:pt idx="5">
                  <c:v>5453.4233211816208</c:v>
                </c:pt>
                <c:pt idx="6">
                  <c:v>4362.7386569452965</c:v>
                </c:pt>
                <c:pt idx="7">
                  <c:v>3635.6155474544139</c:v>
                </c:pt>
                <c:pt idx="8">
                  <c:v>3116.241897818069</c:v>
                </c:pt>
                <c:pt idx="9">
                  <c:v>2726.7116605908104</c:v>
                </c:pt>
                <c:pt idx="10">
                  <c:v>2423.7436983029424</c:v>
                </c:pt>
                <c:pt idx="11">
                  <c:v>2181.3693284726482</c:v>
                </c:pt>
                <c:pt idx="12">
                  <c:v>1090.6846642363241</c:v>
                </c:pt>
                <c:pt idx="13">
                  <c:v>727.12310949088271</c:v>
                </c:pt>
                <c:pt idx="14">
                  <c:v>545.34233211816206</c:v>
                </c:pt>
                <c:pt idx="15">
                  <c:v>436.27386569452966</c:v>
                </c:pt>
                <c:pt idx="16">
                  <c:v>363.56155474544136</c:v>
                </c:pt>
              </c:numCache>
            </c:numRef>
          </c:xVal>
          <c:yVal>
            <c:numRef>
              <c:f>TurnerALM!$B$40:$B$56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2C2-4BFA-8961-9BB6487B101B}"/>
            </c:ext>
          </c:extLst>
        </c:ser>
        <c:ser>
          <c:idx val="5"/>
          <c:order val="2"/>
          <c:tx>
            <c:strRef>
              <c:f>TurnerALM!$H$57</c:f>
              <c:strCache>
                <c:ptCount val="1"/>
                <c:pt idx="0">
                  <c:v>2.875" 2000psig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TurnerALM!$H$58:$H$74</c:f>
              <c:numCache>
                <c:formatCode>#,##0</c:formatCode>
                <c:ptCount val="17"/>
                <c:pt idx="0">
                  <c:v>314117.15173100401</c:v>
                </c:pt>
                <c:pt idx="1">
                  <c:v>62823.430346200803</c:v>
                </c:pt>
                <c:pt idx="2">
                  <c:v>31411.715173100401</c:v>
                </c:pt>
                <c:pt idx="3">
                  <c:v>15705.857586550201</c:v>
                </c:pt>
                <c:pt idx="4">
                  <c:v>10470.5717243668</c:v>
                </c:pt>
                <c:pt idx="5">
                  <c:v>7852.9287932751004</c:v>
                </c:pt>
                <c:pt idx="6">
                  <c:v>6282.3430346200803</c:v>
                </c:pt>
                <c:pt idx="7">
                  <c:v>5235.2858621834002</c:v>
                </c:pt>
                <c:pt idx="8">
                  <c:v>4487.3878818714857</c:v>
                </c:pt>
                <c:pt idx="9">
                  <c:v>3926.4643966375502</c:v>
                </c:pt>
                <c:pt idx="10">
                  <c:v>3490.1905747889332</c:v>
                </c:pt>
                <c:pt idx="11">
                  <c:v>3141.1715173100401</c:v>
                </c:pt>
                <c:pt idx="12">
                  <c:v>1570.5857586550201</c:v>
                </c:pt>
                <c:pt idx="13">
                  <c:v>1047.05717243668</c:v>
                </c:pt>
                <c:pt idx="14">
                  <c:v>785.29287932751004</c:v>
                </c:pt>
                <c:pt idx="15">
                  <c:v>628.23430346200803</c:v>
                </c:pt>
                <c:pt idx="16">
                  <c:v>523.52858621834002</c:v>
                </c:pt>
              </c:numCache>
            </c:numRef>
          </c:xVal>
          <c:yVal>
            <c:numRef>
              <c:f>TurnerALM!$B$58:$B$74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2C2-4BFA-8961-9BB6487B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534384"/>
        <c:axId val="1356534864"/>
      </c:scatterChart>
      <c:valAx>
        <c:axId val="1356534384"/>
        <c:scaling>
          <c:logBase val="10"/>
          <c:orientation val="minMax"/>
          <c:max val="10000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864"/>
        <c:crosses val="autoZero"/>
        <c:crossBetween val="midCat"/>
      </c:valAx>
      <c:valAx>
        <c:axId val="1356534864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TurnerAll!$D$25</c:f>
              <c:strCache>
                <c:ptCount val="1"/>
                <c:pt idx="0">
                  <c:v>Ql[bbld]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TurnerALM!$G$3</c:f>
              <c:strCache>
                <c:ptCount val="1"/>
                <c:pt idx="0">
                  <c:v>2.375" 50psig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TurnerALM!$G$22:$G$38</c:f>
              <c:numCache>
                <c:formatCode>#,##0</c:formatCode>
                <c:ptCount val="17"/>
                <c:pt idx="0">
                  <c:v>47910.748362852224</c:v>
                </c:pt>
                <c:pt idx="1">
                  <c:v>9582.1496725704455</c:v>
                </c:pt>
                <c:pt idx="2">
                  <c:v>4791.0748362852228</c:v>
                </c:pt>
                <c:pt idx="3">
                  <c:v>2395.5374181426114</c:v>
                </c:pt>
                <c:pt idx="4">
                  <c:v>1597.0249454284076</c:v>
                </c:pt>
                <c:pt idx="5">
                  <c:v>1197.7687090713057</c:v>
                </c:pt>
                <c:pt idx="6">
                  <c:v>958.21496725704446</c:v>
                </c:pt>
                <c:pt idx="7">
                  <c:v>798.5124727142038</c:v>
                </c:pt>
                <c:pt idx="8">
                  <c:v>684.43926232646038</c:v>
                </c:pt>
                <c:pt idx="9">
                  <c:v>598.88435453565285</c:v>
                </c:pt>
                <c:pt idx="10">
                  <c:v>532.34164847613579</c:v>
                </c:pt>
                <c:pt idx="11">
                  <c:v>479.10748362852223</c:v>
                </c:pt>
                <c:pt idx="12">
                  <c:v>239.55374181426112</c:v>
                </c:pt>
                <c:pt idx="13">
                  <c:v>159.70249454284075</c:v>
                </c:pt>
                <c:pt idx="14">
                  <c:v>119.77687090713056</c:v>
                </c:pt>
                <c:pt idx="15">
                  <c:v>95.821496725704449</c:v>
                </c:pt>
                <c:pt idx="16">
                  <c:v>79.851247271420377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82-48C4-8275-0306B246F978}"/>
            </c:ext>
          </c:extLst>
        </c:ser>
        <c:ser>
          <c:idx val="2"/>
          <c:order val="1"/>
          <c:tx>
            <c:strRef>
              <c:f>TurnerALM!$G$39</c:f>
              <c:strCache>
                <c:ptCount val="1"/>
                <c:pt idx="0">
                  <c:v>2.375" 1000psig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TurnerALM!$G$40:$G$56</c:f>
              <c:numCache>
                <c:formatCode>#,##0</c:formatCode>
                <c:ptCount val="17"/>
                <c:pt idx="0">
                  <c:v>148860.93148934332</c:v>
                </c:pt>
                <c:pt idx="1">
                  <c:v>29772.186297868662</c:v>
                </c:pt>
                <c:pt idx="2">
                  <c:v>14886.093148934331</c:v>
                </c:pt>
                <c:pt idx="3">
                  <c:v>7443.0465744671656</c:v>
                </c:pt>
                <c:pt idx="4">
                  <c:v>4962.0310496447773</c:v>
                </c:pt>
                <c:pt idx="5">
                  <c:v>3721.5232872335828</c:v>
                </c:pt>
                <c:pt idx="6">
                  <c:v>2977.2186297868661</c:v>
                </c:pt>
                <c:pt idx="7">
                  <c:v>2481.0155248223887</c:v>
                </c:pt>
                <c:pt idx="8">
                  <c:v>2126.5847355620472</c:v>
                </c:pt>
                <c:pt idx="9">
                  <c:v>1860.7616436167914</c:v>
                </c:pt>
                <c:pt idx="10">
                  <c:v>1654.0103498815924</c:v>
                </c:pt>
                <c:pt idx="11">
                  <c:v>1488.6093148934331</c:v>
                </c:pt>
                <c:pt idx="12">
                  <c:v>744.30465744671653</c:v>
                </c:pt>
                <c:pt idx="13">
                  <c:v>496.20310496447769</c:v>
                </c:pt>
                <c:pt idx="14">
                  <c:v>372.15232872335827</c:v>
                </c:pt>
                <c:pt idx="15">
                  <c:v>297.7218629786866</c:v>
                </c:pt>
                <c:pt idx="16">
                  <c:v>248.10155248223884</c:v>
                </c:pt>
              </c:numCache>
            </c:numRef>
          </c:xVal>
          <c:yVal>
            <c:numRef>
              <c:f>TurnerALM!$B$40:$B$56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82-48C4-8275-0306B246F978}"/>
            </c:ext>
          </c:extLst>
        </c:ser>
        <c:ser>
          <c:idx val="4"/>
          <c:order val="2"/>
          <c:tx>
            <c:strRef>
              <c:f>TurnerALM!$G$57</c:f>
              <c:strCache>
                <c:ptCount val="1"/>
                <c:pt idx="0">
                  <c:v>2.375" 2000psig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TurnerALM!$G$58:$G$74</c:f>
              <c:numCache>
                <c:formatCode>#,##0</c:formatCode>
                <c:ptCount val="17"/>
                <c:pt idx="0">
                  <c:v>214359.71980130891</c:v>
                </c:pt>
                <c:pt idx="1">
                  <c:v>42871.943960261786</c:v>
                </c:pt>
                <c:pt idx="2">
                  <c:v>21435.971980130893</c:v>
                </c:pt>
                <c:pt idx="3">
                  <c:v>10717.985990065446</c:v>
                </c:pt>
                <c:pt idx="4">
                  <c:v>7145.3239933769637</c:v>
                </c:pt>
                <c:pt idx="5">
                  <c:v>5358.9929950327232</c:v>
                </c:pt>
                <c:pt idx="6">
                  <c:v>4287.1943960261779</c:v>
                </c:pt>
                <c:pt idx="7">
                  <c:v>3572.6619966884818</c:v>
                </c:pt>
                <c:pt idx="8">
                  <c:v>3062.28171144727</c:v>
                </c:pt>
                <c:pt idx="9">
                  <c:v>2679.4964975163616</c:v>
                </c:pt>
                <c:pt idx="10">
                  <c:v>2381.7746644589879</c:v>
                </c:pt>
                <c:pt idx="11">
                  <c:v>2143.5971980130889</c:v>
                </c:pt>
                <c:pt idx="12">
                  <c:v>1071.7985990065445</c:v>
                </c:pt>
                <c:pt idx="13">
                  <c:v>714.53239933769635</c:v>
                </c:pt>
                <c:pt idx="14">
                  <c:v>535.89929950327223</c:v>
                </c:pt>
                <c:pt idx="15">
                  <c:v>428.71943960261785</c:v>
                </c:pt>
                <c:pt idx="16">
                  <c:v>357.26619966884817</c:v>
                </c:pt>
              </c:numCache>
            </c:numRef>
          </c:xVal>
          <c:yVal>
            <c:numRef>
              <c:f>TurnerALM!$B$58:$B$74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582-48C4-8275-0306B246F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534384"/>
        <c:axId val="1356534864"/>
      </c:scatterChart>
      <c:valAx>
        <c:axId val="1356534384"/>
        <c:scaling>
          <c:logBase val="10"/>
          <c:orientation val="minMax"/>
          <c:max val="10000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864"/>
        <c:crosses val="autoZero"/>
        <c:crossBetween val="midCat"/>
      </c:valAx>
      <c:valAx>
        <c:axId val="1356534864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TurnerAll!$D$25</c:f>
              <c:strCache>
                <c:ptCount val="1"/>
                <c:pt idx="0">
                  <c:v>Ql[bbld]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TurnerALM!$C$3</c:f>
              <c:strCache>
                <c:ptCount val="1"/>
                <c:pt idx="0">
                  <c:v>1.25" 50psig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TurnerALM!$C$22:$C$38</c:f>
              <c:numCache>
                <c:formatCode>#,##0</c:formatCode>
                <c:ptCount val="17"/>
                <c:pt idx="0">
                  <c:v>13271.675446773501</c:v>
                </c:pt>
                <c:pt idx="1">
                  <c:v>2654.3350893546944</c:v>
                </c:pt>
                <c:pt idx="2">
                  <c:v>1327.1675446773472</c:v>
                </c:pt>
                <c:pt idx="3">
                  <c:v>663.58377233867361</c:v>
                </c:pt>
                <c:pt idx="4">
                  <c:v>442.38918155911574</c:v>
                </c:pt>
                <c:pt idx="5">
                  <c:v>331.79188616933681</c:v>
                </c:pt>
                <c:pt idx="6">
                  <c:v>265.43350893546943</c:v>
                </c:pt>
                <c:pt idx="7">
                  <c:v>221.19459077955787</c:v>
                </c:pt>
                <c:pt idx="8">
                  <c:v>189.5953635253353</c:v>
                </c:pt>
                <c:pt idx="9">
                  <c:v>165.8959430846684</c:v>
                </c:pt>
                <c:pt idx="10">
                  <c:v>147.46306051970524</c:v>
                </c:pt>
                <c:pt idx="11">
                  <c:v>132.71675446773472</c:v>
                </c:pt>
                <c:pt idx="12">
                  <c:v>66.358377233867358</c:v>
                </c:pt>
                <c:pt idx="13">
                  <c:v>44.23891815591157</c:v>
                </c:pt>
                <c:pt idx="14">
                  <c:v>33.179188616933679</c:v>
                </c:pt>
                <c:pt idx="15">
                  <c:v>26.543350893546943</c:v>
                </c:pt>
                <c:pt idx="16">
                  <c:v>22.119459077955785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1A-46CE-9931-AA6DDF853864}"/>
            </c:ext>
          </c:extLst>
        </c:ser>
        <c:ser>
          <c:idx val="0"/>
          <c:order val="1"/>
          <c:tx>
            <c:strRef>
              <c:f>TurnerALM!$D$3</c:f>
              <c:strCache>
                <c:ptCount val="1"/>
                <c:pt idx="0">
                  <c:v>1.5" 50psig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TurnerALM!$D$22:$D$38</c:f>
              <c:numCache>
                <c:formatCode>#,##0</c:formatCode>
                <c:ptCount val="17"/>
                <c:pt idx="0">
                  <c:v>19111.2126433538</c:v>
                </c:pt>
                <c:pt idx="1">
                  <c:v>3822.2425286707598</c:v>
                </c:pt>
                <c:pt idx="2">
                  <c:v>1911.1212643353799</c:v>
                </c:pt>
                <c:pt idx="3">
                  <c:v>955.56063216768996</c:v>
                </c:pt>
                <c:pt idx="4">
                  <c:v>637.04042144512664</c:v>
                </c:pt>
                <c:pt idx="5">
                  <c:v>477.78031608384498</c:v>
                </c:pt>
                <c:pt idx="6">
                  <c:v>382.22425286707596</c:v>
                </c:pt>
                <c:pt idx="7">
                  <c:v>318.52021072256332</c:v>
                </c:pt>
                <c:pt idx="8">
                  <c:v>273.01732347648283</c:v>
                </c:pt>
                <c:pt idx="9">
                  <c:v>238.89015804192249</c:v>
                </c:pt>
                <c:pt idx="10">
                  <c:v>212.34680714837555</c:v>
                </c:pt>
                <c:pt idx="11">
                  <c:v>191.11212643353798</c:v>
                </c:pt>
                <c:pt idx="12">
                  <c:v>95.55606321676899</c:v>
                </c:pt>
                <c:pt idx="13">
                  <c:v>63.704042144512663</c:v>
                </c:pt>
                <c:pt idx="14">
                  <c:v>47.778031608384495</c:v>
                </c:pt>
                <c:pt idx="15">
                  <c:v>38.222425286707598</c:v>
                </c:pt>
                <c:pt idx="16">
                  <c:v>31.852021072256331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E1A-46CE-9931-AA6DDF853864}"/>
            </c:ext>
          </c:extLst>
        </c:ser>
        <c:ser>
          <c:idx val="2"/>
          <c:order val="2"/>
          <c:tx>
            <c:strRef>
              <c:f>TurnerALM!$E$3</c:f>
              <c:strCache>
                <c:ptCount val="1"/>
                <c:pt idx="0">
                  <c:v>1.75" 50psig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TurnerALM!$E$22:$E$38</c:f>
              <c:numCache>
                <c:formatCode>#,##0</c:formatCode>
                <c:ptCount val="17"/>
                <c:pt idx="0">
                  <c:v>26012.483875676007</c:v>
                </c:pt>
                <c:pt idx="1">
                  <c:v>5202.4967751352015</c:v>
                </c:pt>
                <c:pt idx="2">
                  <c:v>2601.2483875676007</c:v>
                </c:pt>
                <c:pt idx="3">
                  <c:v>1300.6241937838004</c:v>
                </c:pt>
                <c:pt idx="4">
                  <c:v>867.08279585586683</c:v>
                </c:pt>
                <c:pt idx="5">
                  <c:v>650.31209689190018</c:v>
                </c:pt>
                <c:pt idx="6">
                  <c:v>520.24967751352017</c:v>
                </c:pt>
                <c:pt idx="7">
                  <c:v>433.54139792793342</c:v>
                </c:pt>
                <c:pt idx="8">
                  <c:v>371.60691250965721</c:v>
                </c:pt>
                <c:pt idx="9">
                  <c:v>325.15604844595009</c:v>
                </c:pt>
                <c:pt idx="10">
                  <c:v>289.02759861862228</c:v>
                </c:pt>
                <c:pt idx="11">
                  <c:v>260.12483875676008</c:v>
                </c:pt>
                <c:pt idx="12">
                  <c:v>130.06241937838004</c:v>
                </c:pt>
                <c:pt idx="13">
                  <c:v>86.708279585586681</c:v>
                </c:pt>
                <c:pt idx="14">
                  <c:v>65.031209689190021</c:v>
                </c:pt>
                <c:pt idx="15">
                  <c:v>52.024967751352008</c:v>
                </c:pt>
                <c:pt idx="16">
                  <c:v>43.35413979279334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1A-46CE-9931-AA6DDF853864}"/>
            </c:ext>
          </c:extLst>
        </c:ser>
        <c:ser>
          <c:idx val="3"/>
          <c:order val="3"/>
          <c:tx>
            <c:strRef>
              <c:f>TurnerALM!$F$3</c:f>
              <c:strCache>
                <c:ptCount val="1"/>
                <c:pt idx="0">
                  <c:v>1.9" 50psig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TurnerALM!$F$22:$F$38</c:f>
              <c:numCache>
                <c:formatCode>#,##0</c:formatCode>
                <c:ptCount val="17"/>
                <c:pt idx="0">
                  <c:v>30662.87895222543</c:v>
                </c:pt>
                <c:pt idx="1">
                  <c:v>6132.5757904450866</c:v>
                </c:pt>
                <c:pt idx="2">
                  <c:v>3066.2878952225433</c:v>
                </c:pt>
                <c:pt idx="3">
                  <c:v>1533.1439476112716</c:v>
                </c:pt>
                <c:pt idx="4">
                  <c:v>1022.0959650741811</c:v>
                </c:pt>
                <c:pt idx="5">
                  <c:v>766.57197380563582</c:v>
                </c:pt>
                <c:pt idx="6">
                  <c:v>613.25757904450859</c:v>
                </c:pt>
                <c:pt idx="7">
                  <c:v>511.04798253709055</c:v>
                </c:pt>
                <c:pt idx="8">
                  <c:v>438.04112788893474</c:v>
                </c:pt>
                <c:pt idx="9">
                  <c:v>383.28598690281791</c:v>
                </c:pt>
                <c:pt idx="10">
                  <c:v>340.69865502472703</c:v>
                </c:pt>
                <c:pt idx="11">
                  <c:v>306.62878952225429</c:v>
                </c:pt>
                <c:pt idx="12">
                  <c:v>153.31439476112715</c:v>
                </c:pt>
                <c:pt idx="13">
                  <c:v>102.20959650741811</c:v>
                </c:pt>
                <c:pt idx="14">
                  <c:v>76.657197380563574</c:v>
                </c:pt>
                <c:pt idx="15">
                  <c:v>61.32575790445086</c:v>
                </c:pt>
                <c:pt idx="16">
                  <c:v>51.104798253709056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E1A-46CE-9931-AA6DDF853864}"/>
            </c:ext>
          </c:extLst>
        </c:ser>
        <c:ser>
          <c:idx val="4"/>
          <c:order val="4"/>
          <c:tx>
            <c:strRef>
              <c:f>TurnerALM!$G$3</c:f>
              <c:strCache>
                <c:ptCount val="1"/>
                <c:pt idx="0">
                  <c:v>2.375" 50psig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TurnerALM!$G$22:$G$38</c:f>
              <c:numCache>
                <c:formatCode>#,##0</c:formatCode>
                <c:ptCount val="17"/>
                <c:pt idx="0">
                  <c:v>47910.748362852224</c:v>
                </c:pt>
                <c:pt idx="1">
                  <c:v>9582.1496725704455</c:v>
                </c:pt>
                <c:pt idx="2">
                  <c:v>4791.0748362852228</c:v>
                </c:pt>
                <c:pt idx="3">
                  <c:v>2395.5374181426114</c:v>
                </c:pt>
                <c:pt idx="4">
                  <c:v>1597.0249454284076</c:v>
                </c:pt>
                <c:pt idx="5">
                  <c:v>1197.7687090713057</c:v>
                </c:pt>
                <c:pt idx="6">
                  <c:v>958.21496725704446</c:v>
                </c:pt>
                <c:pt idx="7">
                  <c:v>798.5124727142038</c:v>
                </c:pt>
                <c:pt idx="8">
                  <c:v>684.43926232646038</c:v>
                </c:pt>
                <c:pt idx="9">
                  <c:v>598.88435453565285</c:v>
                </c:pt>
                <c:pt idx="10">
                  <c:v>532.34164847613579</c:v>
                </c:pt>
                <c:pt idx="11">
                  <c:v>479.10748362852223</c:v>
                </c:pt>
                <c:pt idx="12">
                  <c:v>239.55374181426112</c:v>
                </c:pt>
                <c:pt idx="13">
                  <c:v>159.70249454284075</c:v>
                </c:pt>
                <c:pt idx="14">
                  <c:v>119.77687090713056</c:v>
                </c:pt>
                <c:pt idx="15">
                  <c:v>95.821496725704449</c:v>
                </c:pt>
                <c:pt idx="16">
                  <c:v>79.851247271420377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E1A-46CE-9931-AA6DDF853864}"/>
            </c:ext>
          </c:extLst>
        </c:ser>
        <c:ser>
          <c:idx val="5"/>
          <c:order val="5"/>
          <c:tx>
            <c:strRef>
              <c:f>TurnerALM!$H$3</c:f>
              <c:strCache>
                <c:ptCount val="1"/>
                <c:pt idx="0">
                  <c:v>2.875" 50psig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TurnerALM!$H$22:$H$38</c:f>
              <c:numCache>
                <c:formatCode>#,##0</c:formatCode>
                <c:ptCount val="17"/>
                <c:pt idx="0">
                  <c:v>70207.16311343167</c:v>
                </c:pt>
                <c:pt idx="1">
                  <c:v>14041.432622686334</c:v>
                </c:pt>
                <c:pt idx="2">
                  <c:v>7020.716311343167</c:v>
                </c:pt>
                <c:pt idx="3">
                  <c:v>3510.3581556715835</c:v>
                </c:pt>
                <c:pt idx="4">
                  <c:v>2340.2387704477223</c:v>
                </c:pt>
                <c:pt idx="5">
                  <c:v>1755.1790778357918</c:v>
                </c:pt>
                <c:pt idx="6">
                  <c:v>1404.1432622686334</c:v>
                </c:pt>
                <c:pt idx="7">
                  <c:v>1170.1193852238612</c:v>
                </c:pt>
                <c:pt idx="8">
                  <c:v>1002.9594730490238</c:v>
                </c:pt>
                <c:pt idx="9">
                  <c:v>877.58953891789588</c:v>
                </c:pt>
                <c:pt idx="10">
                  <c:v>780.07959014924074</c:v>
                </c:pt>
                <c:pt idx="11">
                  <c:v>702.0716311343167</c:v>
                </c:pt>
                <c:pt idx="12">
                  <c:v>351.03581556715835</c:v>
                </c:pt>
                <c:pt idx="13">
                  <c:v>234.02387704477223</c:v>
                </c:pt>
                <c:pt idx="14">
                  <c:v>175.51790778357918</c:v>
                </c:pt>
                <c:pt idx="15">
                  <c:v>140.41432622686332</c:v>
                </c:pt>
                <c:pt idx="16">
                  <c:v>117.01193852238612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E1A-46CE-9931-AA6DDF853864}"/>
            </c:ext>
          </c:extLst>
        </c:ser>
        <c:ser>
          <c:idx val="6"/>
          <c:order val="6"/>
          <c:tx>
            <c:strRef>
              <c:f>TurnerALM!$I$3</c:f>
              <c:strCache>
                <c:ptCount val="1"/>
                <c:pt idx="0">
                  <c:v>3.5" 50psig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TurnerALM!$I$22:$I$38</c:f>
              <c:numCache>
                <c:formatCode>#,##0</c:formatCode>
                <c:ptCount val="17"/>
                <c:pt idx="0">
                  <c:v>104049.93550270403</c:v>
                </c:pt>
                <c:pt idx="1">
                  <c:v>20809.987100540806</c:v>
                </c:pt>
                <c:pt idx="2">
                  <c:v>10404.993550270403</c:v>
                </c:pt>
                <c:pt idx="3">
                  <c:v>5202.4967751352015</c:v>
                </c:pt>
                <c:pt idx="4">
                  <c:v>3468.3311834234673</c:v>
                </c:pt>
                <c:pt idx="5">
                  <c:v>2601.2483875676007</c:v>
                </c:pt>
                <c:pt idx="6">
                  <c:v>2080.9987100540807</c:v>
                </c:pt>
                <c:pt idx="7">
                  <c:v>1734.1655917117337</c:v>
                </c:pt>
                <c:pt idx="8">
                  <c:v>1486.4276500386288</c:v>
                </c:pt>
                <c:pt idx="9">
                  <c:v>1300.6241937838004</c:v>
                </c:pt>
                <c:pt idx="10">
                  <c:v>1156.1103944744891</c:v>
                </c:pt>
                <c:pt idx="11">
                  <c:v>1040.4993550270403</c:v>
                </c:pt>
                <c:pt idx="12">
                  <c:v>520.24967751352017</c:v>
                </c:pt>
                <c:pt idx="13">
                  <c:v>346.83311834234672</c:v>
                </c:pt>
                <c:pt idx="14">
                  <c:v>260.12483875676008</c:v>
                </c:pt>
                <c:pt idx="15">
                  <c:v>208.09987100540803</c:v>
                </c:pt>
                <c:pt idx="16">
                  <c:v>173.41655917117336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E1A-46CE-9931-AA6DDF853864}"/>
            </c:ext>
          </c:extLst>
        </c:ser>
        <c:ser>
          <c:idx val="7"/>
          <c:order val="7"/>
          <c:tx>
            <c:strRef>
              <c:f>TurnerALM!$J$3</c:f>
              <c:strCache>
                <c:ptCount val="1"/>
                <c:pt idx="0">
                  <c:v>4.5" 50psig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TurnerALM!$J$22:$J$38</c:f>
              <c:numCache>
                <c:formatCode>#,##0</c:formatCode>
                <c:ptCount val="17"/>
                <c:pt idx="0">
                  <c:v>172000.91379018419</c:v>
                </c:pt>
                <c:pt idx="1">
                  <c:v>34400.182758036841</c:v>
                </c:pt>
                <c:pt idx="2">
                  <c:v>17200.09137901842</c:v>
                </c:pt>
                <c:pt idx="3">
                  <c:v>8600.0456895092102</c:v>
                </c:pt>
                <c:pt idx="4">
                  <c:v>5733.3637930061395</c:v>
                </c:pt>
                <c:pt idx="5">
                  <c:v>4300.0228447546051</c:v>
                </c:pt>
                <c:pt idx="6">
                  <c:v>3440.018275803684</c:v>
                </c:pt>
                <c:pt idx="7">
                  <c:v>2866.6818965030698</c:v>
                </c:pt>
                <c:pt idx="8">
                  <c:v>2457.1559112883456</c:v>
                </c:pt>
                <c:pt idx="9">
                  <c:v>2150.0114223773026</c:v>
                </c:pt>
                <c:pt idx="10">
                  <c:v>1911.1212643353799</c:v>
                </c:pt>
                <c:pt idx="11">
                  <c:v>1720.009137901842</c:v>
                </c:pt>
                <c:pt idx="12">
                  <c:v>860.004568950921</c:v>
                </c:pt>
                <c:pt idx="13">
                  <c:v>573.336379300614</c:v>
                </c:pt>
                <c:pt idx="14">
                  <c:v>430.0022844754605</c:v>
                </c:pt>
                <c:pt idx="15">
                  <c:v>344.0018275803684</c:v>
                </c:pt>
                <c:pt idx="16">
                  <c:v>286.668189650307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E1A-46CE-9931-AA6DDF853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534384"/>
        <c:axId val="1356534864"/>
      </c:scatterChart>
      <c:valAx>
        <c:axId val="1356534384"/>
        <c:scaling>
          <c:logBase val="10"/>
          <c:orientation val="minMax"/>
          <c:max val="10000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864"/>
        <c:crosses val="autoZero"/>
        <c:crossBetween val="midCat"/>
      </c:valAx>
      <c:valAx>
        <c:axId val="1356534864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TurnerAll!$D$25</c:f>
              <c:strCache>
                <c:ptCount val="1"/>
                <c:pt idx="0">
                  <c:v>Ql[bbld]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TurnerALM!$C$39</c:f>
              <c:strCache>
                <c:ptCount val="1"/>
                <c:pt idx="0">
                  <c:v>1.25" 1000psig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TurnerALM!$C$40:$C$56</c:f>
              <c:numCache>
                <c:formatCode>#,##0</c:formatCode>
                <c:ptCount val="17"/>
                <c:pt idx="0">
                  <c:v>41235.715094000923</c:v>
                </c:pt>
                <c:pt idx="1">
                  <c:v>8247.143018800185</c:v>
                </c:pt>
                <c:pt idx="2">
                  <c:v>4123.5715094000925</c:v>
                </c:pt>
                <c:pt idx="3">
                  <c:v>2061.7857547000463</c:v>
                </c:pt>
                <c:pt idx="4">
                  <c:v>1374.5238364666975</c:v>
                </c:pt>
                <c:pt idx="5">
                  <c:v>1030.8928773500231</c:v>
                </c:pt>
                <c:pt idx="6">
                  <c:v>824.71430188001841</c:v>
                </c:pt>
                <c:pt idx="7">
                  <c:v>687.26191823334875</c:v>
                </c:pt>
                <c:pt idx="8">
                  <c:v>589.08164420001322</c:v>
                </c:pt>
                <c:pt idx="9">
                  <c:v>515.44643867501156</c:v>
                </c:pt>
                <c:pt idx="10">
                  <c:v>458.1746121555658</c:v>
                </c:pt>
                <c:pt idx="11">
                  <c:v>412.35715094000921</c:v>
                </c:pt>
                <c:pt idx="12">
                  <c:v>206.1785754700046</c:v>
                </c:pt>
                <c:pt idx="13">
                  <c:v>137.45238364666974</c:v>
                </c:pt>
                <c:pt idx="14">
                  <c:v>103.0892877350023</c:v>
                </c:pt>
                <c:pt idx="15">
                  <c:v>82.471430188001847</c:v>
                </c:pt>
                <c:pt idx="16">
                  <c:v>68.726191823334872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48-4CE1-ADD1-5449C86DFBD5}"/>
            </c:ext>
          </c:extLst>
        </c:ser>
        <c:ser>
          <c:idx val="0"/>
          <c:order val="1"/>
          <c:tx>
            <c:strRef>
              <c:f>TurnerALM!$D$39</c:f>
              <c:strCache>
                <c:ptCount val="1"/>
                <c:pt idx="0">
                  <c:v>1.5" 1000psig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TurnerALM!$D$40:$D$56</c:f>
              <c:numCache>
                <c:formatCode>#,##0</c:formatCode>
                <c:ptCount val="17"/>
                <c:pt idx="0">
                  <c:v>59379.429735361322</c:v>
                </c:pt>
                <c:pt idx="1">
                  <c:v>11875.885947072264</c:v>
                </c:pt>
                <c:pt idx="2">
                  <c:v>5937.9429735361318</c:v>
                </c:pt>
                <c:pt idx="3">
                  <c:v>2968.9714867680659</c:v>
                </c:pt>
                <c:pt idx="4">
                  <c:v>1979.3143245120439</c:v>
                </c:pt>
                <c:pt idx="5">
                  <c:v>1484.485743384033</c:v>
                </c:pt>
                <c:pt idx="6">
                  <c:v>1187.5885947072263</c:v>
                </c:pt>
                <c:pt idx="7">
                  <c:v>989.65716225602193</c:v>
                </c:pt>
                <c:pt idx="8">
                  <c:v>848.27756764801882</c:v>
                </c:pt>
                <c:pt idx="9">
                  <c:v>742.24287169201648</c:v>
                </c:pt>
                <c:pt idx="10">
                  <c:v>659.77144150401466</c:v>
                </c:pt>
                <c:pt idx="11">
                  <c:v>593.79429735361316</c:v>
                </c:pt>
                <c:pt idx="12">
                  <c:v>296.89714867680658</c:v>
                </c:pt>
                <c:pt idx="13">
                  <c:v>197.93143245120439</c:v>
                </c:pt>
                <c:pt idx="14">
                  <c:v>148.44857433840329</c:v>
                </c:pt>
                <c:pt idx="15">
                  <c:v>118.75885947072264</c:v>
                </c:pt>
                <c:pt idx="16">
                  <c:v>98.965716225602193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48-4CE1-ADD1-5449C86DFBD5}"/>
            </c:ext>
          </c:extLst>
        </c:ser>
        <c:ser>
          <c:idx val="2"/>
          <c:order val="2"/>
          <c:tx>
            <c:strRef>
              <c:f>TurnerALM!$E$39</c:f>
              <c:strCache>
                <c:ptCount val="1"/>
                <c:pt idx="0">
                  <c:v>1.75" 1000psig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TurnerALM!$E$40:$E$56</c:f>
              <c:numCache>
                <c:formatCode>#,##0</c:formatCode>
                <c:ptCount val="17"/>
                <c:pt idx="0">
                  <c:v>80822.001584241807</c:v>
                </c:pt>
                <c:pt idx="1">
                  <c:v>16164.400316848361</c:v>
                </c:pt>
                <c:pt idx="2">
                  <c:v>8082.2001584241807</c:v>
                </c:pt>
                <c:pt idx="3">
                  <c:v>4041.1000792120903</c:v>
                </c:pt>
                <c:pt idx="4">
                  <c:v>2694.0667194747271</c:v>
                </c:pt>
                <c:pt idx="5">
                  <c:v>2020.5500396060452</c:v>
                </c:pt>
                <c:pt idx="6">
                  <c:v>1616.4400316848362</c:v>
                </c:pt>
                <c:pt idx="7">
                  <c:v>1347.0333597373635</c:v>
                </c:pt>
                <c:pt idx="8">
                  <c:v>1154.6000226320259</c:v>
                </c:pt>
                <c:pt idx="9">
                  <c:v>1010.2750198030226</c:v>
                </c:pt>
                <c:pt idx="10">
                  <c:v>898.02223982490898</c:v>
                </c:pt>
                <c:pt idx="11">
                  <c:v>808.22001584241809</c:v>
                </c:pt>
                <c:pt idx="12">
                  <c:v>404.11000792120905</c:v>
                </c:pt>
                <c:pt idx="13">
                  <c:v>269.40667194747272</c:v>
                </c:pt>
                <c:pt idx="14">
                  <c:v>202.05500396060452</c:v>
                </c:pt>
                <c:pt idx="15">
                  <c:v>161.64400316848361</c:v>
                </c:pt>
                <c:pt idx="16">
                  <c:v>134.70333597373636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48-4CE1-ADD1-5449C86DFBD5}"/>
            </c:ext>
          </c:extLst>
        </c:ser>
        <c:ser>
          <c:idx val="3"/>
          <c:order val="3"/>
          <c:tx>
            <c:strRef>
              <c:f>TurnerALM!$F$39</c:f>
              <c:strCache>
                <c:ptCount val="1"/>
                <c:pt idx="0">
                  <c:v>1.9" 1000psig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TurnerALM!$F$40:$F$56</c:f>
              <c:numCache>
                <c:formatCode>#,##0</c:formatCode>
                <c:ptCount val="17"/>
                <c:pt idx="0">
                  <c:v>95270.996153179716</c:v>
                </c:pt>
                <c:pt idx="1">
                  <c:v>19054.199230635943</c:v>
                </c:pt>
                <c:pt idx="2">
                  <c:v>9527.0996153179713</c:v>
                </c:pt>
                <c:pt idx="3">
                  <c:v>4763.5498076589856</c:v>
                </c:pt>
                <c:pt idx="4">
                  <c:v>3175.6998717726574</c:v>
                </c:pt>
                <c:pt idx="5">
                  <c:v>2381.7749038294928</c:v>
                </c:pt>
                <c:pt idx="6">
                  <c:v>1905.4199230635943</c:v>
                </c:pt>
                <c:pt idx="7">
                  <c:v>1587.8499358863287</c:v>
                </c:pt>
                <c:pt idx="8">
                  <c:v>1361.0142307597102</c:v>
                </c:pt>
                <c:pt idx="9">
                  <c:v>1190.8874519147464</c:v>
                </c:pt>
                <c:pt idx="10">
                  <c:v>1058.5666239242191</c:v>
                </c:pt>
                <c:pt idx="11">
                  <c:v>952.70996153179715</c:v>
                </c:pt>
                <c:pt idx="12">
                  <c:v>476.35498076589857</c:v>
                </c:pt>
                <c:pt idx="13">
                  <c:v>317.56998717726572</c:v>
                </c:pt>
                <c:pt idx="14">
                  <c:v>238.17749038294929</c:v>
                </c:pt>
                <c:pt idx="15">
                  <c:v>190.54199230635945</c:v>
                </c:pt>
                <c:pt idx="16">
                  <c:v>158.78499358863286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48-4CE1-ADD1-5449C86DFBD5}"/>
            </c:ext>
          </c:extLst>
        </c:ser>
        <c:ser>
          <c:idx val="4"/>
          <c:order val="4"/>
          <c:tx>
            <c:strRef>
              <c:f>TurnerALM!$G$39</c:f>
              <c:strCache>
                <c:ptCount val="1"/>
                <c:pt idx="0">
                  <c:v>2.375" 1000psig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TurnerALM!$G$40:$G$56</c:f>
              <c:numCache>
                <c:formatCode>#,##0</c:formatCode>
                <c:ptCount val="17"/>
                <c:pt idx="0">
                  <c:v>148860.93148934332</c:v>
                </c:pt>
                <c:pt idx="1">
                  <c:v>29772.186297868662</c:v>
                </c:pt>
                <c:pt idx="2">
                  <c:v>14886.093148934331</c:v>
                </c:pt>
                <c:pt idx="3">
                  <c:v>7443.0465744671656</c:v>
                </c:pt>
                <c:pt idx="4">
                  <c:v>4962.0310496447773</c:v>
                </c:pt>
                <c:pt idx="5">
                  <c:v>3721.5232872335828</c:v>
                </c:pt>
                <c:pt idx="6">
                  <c:v>2977.2186297868661</c:v>
                </c:pt>
                <c:pt idx="7">
                  <c:v>2481.0155248223887</c:v>
                </c:pt>
                <c:pt idx="8">
                  <c:v>2126.5847355620472</c:v>
                </c:pt>
                <c:pt idx="9">
                  <c:v>1860.7616436167914</c:v>
                </c:pt>
                <c:pt idx="10">
                  <c:v>1654.0103498815924</c:v>
                </c:pt>
                <c:pt idx="11">
                  <c:v>1488.6093148934331</c:v>
                </c:pt>
                <c:pt idx="12">
                  <c:v>744.30465744671653</c:v>
                </c:pt>
                <c:pt idx="13">
                  <c:v>496.20310496447769</c:v>
                </c:pt>
                <c:pt idx="14">
                  <c:v>372.15232872335827</c:v>
                </c:pt>
                <c:pt idx="15">
                  <c:v>297.7218629786866</c:v>
                </c:pt>
                <c:pt idx="16">
                  <c:v>248.10155248223884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48-4CE1-ADD1-5449C86DFBD5}"/>
            </c:ext>
          </c:extLst>
        </c:ser>
        <c:ser>
          <c:idx val="5"/>
          <c:order val="5"/>
          <c:tx>
            <c:strRef>
              <c:f>TurnerALM!$H$39</c:f>
              <c:strCache>
                <c:ptCount val="1"/>
                <c:pt idx="0">
                  <c:v>2.875" 1000psig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TurnerALM!$H$40:$H$56</c:f>
              <c:numCache>
                <c:formatCode>#,##0</c:formatCode>
                <c:ptCount val="17"/>
                <c:pt idx="0">
                  <c:v>218136.93284726483</c:v>
                </c:pt>
                <c:pt idx="1">
                  <c:v>43627.386569452967</c:v>
                </c:pt>
                <c:pt idx="2">
                  <c:v>21813.693284726483</c:v>
                </c:pt>
                <c:pt idx="3">
                  <c:v>10906.846642363242</c:v>
                </c:pt>
                <c:pt idx="4">
                  <c:v>7271.2310949088278</c:v>
                </c:pt>
                <c:pt idx="5">
                  <c:v>5453.4233211816208</c:v>
                </c:pt>
                <c:pt idx="6">
                  <c:v>4362.7386569452965</c:v>
                </c:pt>
                <c:pt idx="7">
                  <c:v>3635.6155474544139</c:v>
                </c:pt>
                <c:pt idx="8">
                  <c:v>3116.241897818069</c:v>
                </c:pt>
                <c:pt idx="9">
                  <c:v>2726.7116605908104</c:v>
                </c:pt>
                <c:pt idx="10">
                  <c:v>2423.7436983029424</c:v>
                </c:pt>
                <c:pt idx="11">
                  <c:v>2181.3693284726482</c:v>
                </c:pt>
                <c:pt idx="12">
                  <c:v>1090.6846642363241</c:v>
                </c:pt>
                <c:pt idx="13">
                  <c:v>727.12310949088271</c:v>
                </c:pt>
                <c:pt idx="14">
                  <c:v>545.34233211816206</c:v>
                </c:pt>
                <c:pt idx="15">
                  <c:v>436.27386569452966</c:v>
                </c:pt>
                <c:pt idx="16">
                  <c:v>363.56155474544136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48-4CE1-ADD1-5449C86DFBD5}"/>
            </c:ext>
          </c:extLst>
        </c:ser>
        <c:ser>
          <c:idx val="6"/>
          <c:order val="6"/>
          <c:tx>
            <c:strRef>
              <c:f>TurnerALM!$I$39</c:f>
              <c:strCache>
                <c:ptCount val="1"/>
                <c:pt idx="0">
                  <c:v>3.5" 1000psig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TurnerALM!$I$40:$I$56</c:f>
              <c:numCache>
                <c:formatCode>#,##0</c:formatCode>
                <c:ptCount val="17"/>
                <c:pt idx="0">
                  <c:v>323288.00633696723</c:v>
                </c:pt>
                <c:pt idx="1">
                  <c:v>64657.601267393446</c:v>
                </c:pt>
                <c:pt idx="2">
                  <c:v>32328.800633696723</c:v>
                </c:pt>
                <c:pt idx="3">
                  <c:v>16164.400316848361</c:v>
                </c:pt>
                <c:pt idx="4">
                  <c:v>10776.266877898908</c:v>
                </c:pt>
                <c:pt idx="5">
                  <c:v>8082.2001584241807</c:v>
                </c:pt>
                <c:pt idx="6">
                  <c:v>6465.7601267393447</c:v>
                </c:pt>
                <c:pt idx="7">
                  <c:v>5388.1334389494541</c:v>
                </c:pt>
                <c:pt idx="8">
                  <c:v>4618.4000905281036</c:v>
                </c:pt>
                <c:pt idx="9">
                  <c:v>4041.1000792120903</c:v>
                </c:pt>
                <c:pt idx="10">
                  <c:v>3592.0889592996359</c:v>
                </c:pt>
                <c:pt idx="11">
                  <c:v>3232.8800633696724</c:v>
                </c:pt>
                <c:pt idx="12">
                  <c:v>1616.4400316848362</c:v>
                </c:pt>
                <c:pt idx="13">
                  <c:v>1077.6266877898909</c:v>
                </c:pt>
                <c:pt idx="14">
                  <c:v>808.22001584241809</c:v>
                </c:pt>
                <c:pt idx="15">
                  <c:v>646.57601267393443</c:v>
                </c:pt>
                <c:pt idx="16">
                  <c:v>538.81334389494543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48-4CE1-ADD1-5449C86DFBD5}"/>
            </c:ext>
          </c:extLst>
        </c:ser>
        <c:ser>
          <c:idx val="7"/>
          <c:order val="7"/>
          <c:tx>
            <c:strRef>
              <c:f>TurnerALM!$J$39</c:f>
              <c:strCache>
                <c:ptCount val="1"/>
                <c:pt idx="0">
                  <c:v>4.5" 1000psig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TurnerALM!$J$40:$J$56</c:f>
              <c:numCache>
                <c:formatCode>#,##0</c:formatCode>
                <c:ptCount val="17"/>
                <c:pt idx="0">
                  <c:v>534414.86761825194</c:v>
                </c:pt>
                <c:pt idx="1">
                  <c:v>106882.97352365039</c:v>
                </c:pt>
                <c:pt idx="2">
                  <c:v>53441.486761825196</c:v>
                </c:pt>
                <c:pt idx="3">
                  <c:v>26720.743380912598</c:v>
                </c:pt>
                <c:pt idx="4">
                  <c:v>17813.828920608397</c:v>
                </c:pt>
                <c:pt idx="5">
                  <c:v>13360.371690456299</c:v>
                </c:pt>
                <c:pt idx="6">
                  <c:v>10688.29735236504</c:v>
                </c:pt>
                <c:pt idx="7">
                  <c:v>8906.9144603041987</c:v>
                </c:pt>
                <c:pt idx="8">
                  <c:v>7634.4981088321711</c:v>
                </c:pt>
                <c:pt idx="9">
                  <c:v>6680.1858452281494</c:v>
                </c:pt>
                <c:pt idx="10">
                  <c:v>5937.9429735361327</c:v>
                </c:pt>
                <c:pt idx="11">
                  <c:v>5344.1486761825199</c:v>
                </c:pt>
                <c:pt idx="12">
                  <c:v>2672.07433809126</c:v>
                </c:pt>
                <c:pt idx="13">
                  <c:v>1781.3828920608398</c:v>
                </c:pt>
                <c:pt idx="14">
                  <c:v>1336.03716904563</c:v>
                </c:pt>
                <c:pt idx="15">
                  <c:v>1068.8297352365039</c:v>
                </c:pt>
                <c:pt idx="16">
                  <c:v>890.69144603041991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E48-4CE1-ADD1-5449C86DF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534384"/>
        <c:axId val="1356534864"/>
      </c:scatterChart>
      <c:valAx>
        <c:axId val="1356534384"/>
        <c:scaling>
          <c:logBase val="10"/>
          <c:orientation val="minMax"/>
          <c:max val="10000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864"/>
        <c:crosses val="autoZero"/>
        <c:crossBetween val="midCat"/>
      </c:valAx>
      <c:valAx>
        <c:axId val="1356534864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TurnerAll!$D$25</c:f>
              <c:strCache>
                <c:ptCount val="1"/>
                <c:pt idx="0">
                  <c:v>Ql[bbld]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forward val="1000"/>
            <c:backward val="100"/>
            <c:dispRSqr val="1"/>
            <c:dispEq val="1"/>
            <c:trendlineLbl>
              <c:layout>
                <c:manualLayout>
                  <c:x val="-0.15206386701662292"/>
                  <c:y val="-3.2720180810732011E-2"/>
                </c:manualLayout>
              </c:layout>
              <c:numFmt formatCode="#,##0.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TurnerALM!$O$6:$O$9</c:f>
              <c:numCache>
                <c:formatCode>0.0</c:formatCode>
                <c:ptCount val="4"/>
                <c:pt idx="0">
                  <c:v>114.7</c:v>
                </c:pt>
                <c:pt idx="1">
                  <c:v>1014.7</c:v>
                </c:pt>
                <c:pt idx="2">
                  <c:v>2014.7</c:v>
                </c:pt>
                <c:pt idx="3">
                  <c:v>3014.7</c:v>
                </c:pt>
              </c:numCache>
            </c:numRef>
          </c:xVal>
          <c:yVal>
            <c:numRef>
              <c:f>TurnerALM!$P$6:$P$9</c:f>
              <c:numCache>
                <c:formatCode>#,##0</c:formatCode>
                <c:ptCount val="4"/>
                <c:pt idx="0">
                  <c:v>47910.748362852202</c:v>
                </c:pt>
                <c:pt idx="1">
                  <c:v>148860.93148934332</c:v>
                </c:pt>
                <c:pt idx="2">
                  <c:v>214359.71980130891</c:v>
                </c:pt>
                <c:pt idx="3">
                  <c:v>256337.64189177155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10-486C-9457-05BB48E3E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934640"/>
        <c:axId val="733935120"/>
      </c:scatterChart>
      <c:valAx>
        <c:axId val="733934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935120"/>
        <c:crosses val="autoZero"/>
        <c:crossBetween val="midCat"/>
      </c:valAx>
      <c:valAx>
        <c:axId val="73393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93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4"/>
          <c:order val="0"/>
          <c:tx>
            <c:strRef>
              <c:f>TurnerALM!$O$24</c:f>
              <c:strCache>
                <c:ptCount val="1"/>
                <c:pt idx="0">
                  <c:v>2-3/8" @ 100 psig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TurnerALM!$N$27:$N$30</c:f>
              <c:numCache>
                <c:formatCode>#,##0</c:formatCode>
                <c:ptCount val="4"/>
                <c:pt idx="0">
                  <c:v>479.99965627777425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</c:numCache>
            </c:numRef>
          </c:xVal>
          <c:yVal>
            <c:numRef>
              <c:f>TurnerALM!$O$27:$O$30</c:f>
              <c:numCache>
                <c:formatCode>#,##0</c:formatCode>
                <c:ptCount val="4"/>
                <c:pt idx="0">
                  <c:v>1000.000716088483</c:v>
                </c:pt>
                <c:pt idx="1">
                  <c:v>480</c:v>
                </c:pt>
                <c:pt idx="2">
                  <c:v>48</c:v>
                </c:pt>
                <c:pt idx="3">
                  <c:v>4.8000000000000007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40-4B6F-9431-E497CE9AC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534384"/>
        <c:axId val="1356534864"/>
      </c:scatterChart>
      <c:valAx>
        <c:axId val="1356534384"/>
        <c:scaling>
          <c:logBase val="10"/>
          <c:orientation val="minMax"/>
          <c:max val="10000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864"/>
        <c:crosses val="autoZero"/>
        <c:crossBetween val="midCat"/>
      </c:valAx>
      <c:valAx>
        <c:axId val="1356534864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TurnerAll!$D$25</c:f>
              <c:strCache>
                <c:ptCount val="1"/>
                <c:pt idx="0">
                  <c:v>Ql[bbld]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2-3/8" Tubing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TurnerALM!$G$3</c:f>
              <c:strCache>
                <c:ptCount val="1"/>
                <c:pt idx="0">
                  <c:v>2.375" 50psig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00"/>
            <c:dispRSqr val="1"/>
            <c:dispEq val="1"/>
            <c:trendlineLbl>
              <c:layout>
                <c:manualLayout>
                  <c:x val="4.9645791331088492E-2"/>
                  <c:y val="-0.33694328786374989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4.791075E+05x</a:t>
                    </a:r>
                    <a:r>
                      <a:rPr lang="en-US" baseline="30000"/>
                      <a:t>-1.000000E+00</a:t>
                    </a:r>
                    <a:br>
                      <a:rPr lang="en-US" baseline="0"/>
                    </a:br>
                    <a:r>
                      <a:rPr lang="en-US" baseline="0"/>
                      <a:t>R² = 1.000000E+00</a:t>
                    </a:r>
                    <a:endParaRPr lang="en-US"/>
                  </a:p>
                </c:rich>
              </c:tx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TurnerALM!$B$22:$B$33</c:f>
              <c:numCache>
                <c:formatCode>General</c:formatCode>
                <c:ptCount val="12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</c:numCache>
            </c:numRef>
          </c:xVal>
          <c:yVal>
            <c:numRef>
              <c:f>TurnerALM!$G$22:$G$33</c:f>
              <c:numCache>
                <c:formatCode>#,##0</c:formatCode>
                <c:ptCount val="12"/>
                <c:pt idx="0">
                  <c:v>47910.748362852224</c:v>
                </c:pt>
                <c:pt idx="1">
                  <c:v>9582.1496725704455</c:v>
                </c:pt>
                <c:pt idx="2">
                  <c:v>4791.0748362852228</c:v>
                </c:pt>
                <c:pt idx="3">
                  <c:v>2395.5374181426114</c:v>
                </c:pt>
                <c:pt idx="4">
                  <c:v>1597.0249454284076</c:v>
                </c:pt>
                <c:pt idx="5">
                  <c:v>1197.7687090713057</c:v>
                </c:pt>
                <c:pt idx="6">
                  <c:v>958.21496725704446</c:v>
                </c:pt>
                <c:pt idx="7">
                  <c:v>798.5124727142038</c:v>
                </c:pt>
                <c:pt idx="8">
                  <c:v>684.43926232646038</c:v>
                </c:pt>
                <c:pt idx="9">
                  <c:v>598.88435453565285</c:v>
                </c:pt>
                <c:pt idx="10">
                  <c:v>532.34164847613579</c:v>
                </c:pt>
                <c:pt idx="11">
                  <c:v>479.10748362852223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D2E-44F2-960C-E950CD4B3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534384"/>
        <c:axId val="1356534864"/>
      </c:scatterChart>
      <c:valAx>
        <c:axId val="1356534384"/>
        <c:scaling>
          <c:logBase val="10"/>
          <c:orientation val="minMax"/>
          <c:max val="10000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TurnerALM!$B$3</c:f>
              <c:strCache>
                <c:ptCount val="1"/>
                <c:pt idx="0">
                  <c:v>Ql[bbld]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864"/>
        <c:crosses val="autoZero"/>
        <c:crossBetween val="midCat"/>
      </c:valAx>
      <c:valAx>
        <c:axId val="1356534864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2-3/8" Tubing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TurnerALM!$G$3</c:f>
              <c:strCache>
                <c:ptCount val="1"/>
                <c:pt idx="0">
                  <c:v>2.375" 50psig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00"/>
            <c:dispRSqr val="1"/>
            <c:dispEq val="1"/>
            <c:trendlineLbl>
              <c:layout>
                <c:manualLayout>
                  <c:x val="-0.16223885980732855"/>
                  <c:y val="-0.58626396085820454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TurnerALM!$G$4:$G$20</c:f>
              <c:numCache>
                <c:formatCode>General</c:formatCode>
                <c:ptCount val="17"/>
                <c:pt idx="0">
                  <c:v>35889.47557560214</c:v>
                </c:pt>
                <c:pt idx="1">
                  <c:v>7177.8951151204283</c:v>
                </c:pt>
                <c:pt idx="2">
                  <c:v>3588.9475575602141</c:v>
                </c:pt>
                <c:pt idx="3">
                  <c:v>1794.4737787801071</c:v>
                </c:pt>
                <c:pt idx="4">
                  <c:v>1196.3158525200713</c:v>
                </c:pt>
                <c:pt idx="5">
                  <c:v>897.23688939005353</c:v>
                </c:pt>
                <c:pt idx="6">
                  <c:v>717.78951151204285</c:v>
                </c:pt>
                <c:pt idx="7">
                  <c:v>598.15792626003565</c:v>
                </c:pt>
                <c:pt idx="8">
                  <c:v>512.70679393717342</c:v>
                </c:pt>
                <c:pt idx="9">
                  <c:v>448.61844469502677</c:v>
                </c:pt>
                <c:pt idx="10">
                  <c:v>398.77195084002381</c:v>
                </c:pt>
                <c:pt idx="11">
                  <c:v>358.89475575602142</c:v>
                </c:pt>
                <c:pt idx="12">
                  <c:v>179.44737787801071</c:v>
                </c:pt>
                <c:pt idx="13">
                  <c:v>119.63158525200714</c:v>
                </c:pt>
                <c:pt idx="14">
                  <c:v>89.723688939005356</c:v>
                </c:pt>
                <c:pt idx="15">
                  <c:v>71.778951151204282</c:v>
                </c:pt>
                <c:pt idx="16">
                  <c:v>59.815792626003571</c:v>
                </c:pt>
              </c:numCache>
            </c:numRef>
          </c:xVal>
          <c:yVal>
            <c:numRef>
              <c:f>TurnerALM!$B$4:$B$20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B5-40B7-8D9D-FBE3D398E39C}"/>
            </c:ext>
          </c:extLst>
        </c:ser>
        <c:ser>
          <c:idx val="7"/>
          <c:order val="1"/>
          <c:tx>
            <c:strRef>
              <c:f>TurnerALM!$G$21</c:f>
              <c:strCache>
                <c:ptCount val="1"/>
                <c:pt idx="0">
                  <c:v>2.375" 100psig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TurnerALM!$G$22:$G$38</c:f>
              <c:numCache>
                <c:formatCode>#,##0</c:formatCode>
                <c:ptCount val="17"/>
                <c:pt idx="0">
                  <c:v>47910.748362852224</c:v>
                </c:pt>
                <c:pt idx="1">
                  <c:v>9582.1496725704455</c:v>
                </c:pt>
                <c:pt idx="2">
                  <c:v>4791.0748362852228</c:v>
                </c:pt>
                <c:pt idx="3">
                  <c:v>2395.5374181426114</c:v>
                </c:pt>
                <c:pt idx="4">
                  <c:v>1597.0249454284076</c:v>
                </c:pt>
                <c:pt idx="5">
                  <c:v>1197.7687090713057</c:v>
                </c:pt>
                <c:pt idx="6">
                  <c:v>958.21496725704446</c:v>
                </c:pt>
                <c:pt idx="7">
                  <c:v>798.5124727142038</c:v>
                </c:pt>
                <c:pt idx="8">
                  <c:v>684.43926232646038</c:v>
                </c:pt>
                <c:pt idx="9">
                  <c:v>598.88435453565285</c:v>
                </c:pt>
                <c:pt idx="10">
                  <c:v>532.34164847613579</c:v>
                </c:pt>
                <c:pt idx="11">
                  <c:v>479.10748362852223</c:v>
                </c:pt>
                <c:pt idx="12">
                  <c:v>239.55374181426112</c:v>
                </c:pt>
                <c:pt idx="13">
                  <c:v>159.70249454284075</c:v>
                </c:pt>
                <c:pt idx="14">
                  <c:v>119.77687090713056</c:v>
                </c:pt>
                <c:pt idx="15">
                  <c:v>95.821496725704449</c:v>
                </c:pt>
                <c:pt idx="16">
                  <c:v>79.851247271420377</c:v>
                </c:pt>
              </c:numCache>
            </c:numRef>
          </c:xVal>
          <c:yVal>
            <c:numRef>
              <c:f>TurnerALM!$B$22:$B$38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B9B5-40B7-8D9D-FBE3D398E39C}"/>
            </c:ext>
          </c:extLst>
        </c:ser>
        <c:ser>
          <c:idx val="1"/>
          <c:order val="2"/>
          <c:tx>
            <c:strRef>
              <c:f>TurnerALM!$G$39</c:f>
              <c:strCache>
                <c:ptCount val="1"/>
                <c:pt idx="0">
                  <c:v>2.375" 1000psig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TurnerALM!$G$40:$G$56</c:f>
              <c:numCache>
                <c:formatCode>#,##0</c:formatCode>
                <c:ptCount val="17"/>
                <c:pt idx="0">
                  <c:v>148860.93148934332</c:v>
                </c:pt>
                <c:pt idx="1">
                  <c:v>29772.186297868662</c:v>
                </c:pt>
                <c:pt idx="2">
                  <c:v>14886.093148934331</c:v>
                </c:pt>
                <c:pt idx="3">
                  <c:v>7443.0465744671656</c:v>
                </c:pt>
                <c:pt idx="4">
                  <c:v>4962.0310496447773</c:v>
                </c:pt>
                <c:pt idx="5">
                  <c:v>3721.5232872335828</c:v>
                </c:pt>
                <c:pt idx="6">
                  <c:v>2977.2186297868661</c:v>
                </c:pt>
                <c:pt idx="7">
                  <c:v>2481.0155248223887</c:v>
                </c:pt>
                <c:pt idx="8">
                  <c:v>2126.5847355620472</c:v>
                </c:pt>
                <c:pt idx="9">
                  <c:v>1860.7616436167914</c:v>
                </c:pt>
                <c:pt idx="10">
                  <c:v>1654.0103498815924</c:v>
                </c:pt>
                <c:pt idx="11">
                  <c:v>1488.6093148934331</c:v>
                </c:pt>
                <c:pt idx="12">
                  <c:v>744.30465744671653</c:v>
                </c:pt>
                <c:pt idx="13">
                  <c:v>496.20310496447769</c:v>
                </c:pt>
                <c:pt idx="14">
                  <c:v>372.15232872335827</c:v>
                </c:pt>
                <c:pt idx="15">
                  <c:v>297.7218629786866</c:v>
                </c:pt>
                <c:pt idx="16">
                  <c:v>248.10155248223884</c:v>
                </c:pt>
              </c:numCache>
            </c:numRef>
          </c:xVal>
          <c:yVal>
            <c:numRef>
              <c:f>TurnerALM!$B$40:$B$56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B5-40B7-8D9D-FBE3D398E39C}"/>
            </c:ext>
          </c:extLst>
        </c:ser>
        <c:ser>
          <c:idx val="2"/>
          <c:order val="3"/>
          <c:tx>
            <c:strRef>
              <c:f>TurnerALM!$G$57</c:f>
              <c:strCache>
                <c:ptCount val="1"/>
                <c:pt idx="0">
                  <c:v>2.375" 2000psig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TurnerALM!$G$58:$G$74</c:f>
              <c:numCache>
                <c:formatCode>#,##0</c:formatCode>
                <c:ptCount val="17"/>
                <c:pt idx="0">
                  <c:v>214359.71980130891</c:v>
                </c:pt>
                <c:pt idx="1">
                  <c:v>42871.943960261786</c:v>
                </c:pt>
                <c:pt idx="2">
                  <c:v>21435.971980130893</c:v>
                </c:pt>
                <c:pt idx="3">
                  <c:v>10717.985990065446</c:v>
                </c:pt>
                <c:pt idx="4">
                  <c:v>7145.3239933769637</c:v>
                </c:pt>
                <c:pt idx="5">
                  <c:v>5358.9929950327232</c:v>
                </c:pt>
                <c:pt idx="6">
                  <c:v>4287.1943960261779</c:v>
                </c:pt>
                <c:pt idx="7">
                  <c:v>3572.6619966884818</c:v>
                </c:pt>
                <c:pt idx="8">
                  <c:v>3062.28171144727</c:v>
                </c:pt>
                <c:pt idx="9">
                  <c:v>2679.4964975163616</c:v>
                </c:pt>
                <c:pt idx="10">
                  <c:v>2381.7746644589879</c:v>
                </c:pt>
                <c:pt idx="11">
                  <c:v>2143.5971980130889</c:v>
                </c:pt>
                <c:pt idx="12">
                  <c:v>1071.7985990065445</c:v>
                </c:pt>
                <c:pt idx="13">
                  <c:v>714.53239933769635</c:v>
                </c:pt>
                <c:pt idx="14">
                  <c:v>535.89929950327223</c:v>
                </c:pt>
                <c:pt idx="15">
                  <c:v>428.71943960261785</c:v>
                </c:pt>
                <c:pt idx="16">
                  <c:v>357.26619966884817</c:v>
                </c:pt>
              </c:numCache>
            </c:numRef>
          </c:xVal>
          <c:yVal>
            <c:numRef>
              <c:f>TurnerALM!$B$58:$B$74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9B5-40B7-8D9D-FBE3D398E39C}"/>
            </c:ext>
          </c:extLst>
        </c:ser>
        <c:ser>
          <c:idx val="3"/>
          <c:order val="4"/>
          <c:tx>
            <c:strRef>
              <c:f>TurnerALM!$G$75</c:f>
              <c:strCache>
                <c:ptCount val="1"/>
                <c:pt idx="0">
                  <c:v>2.375" 3000psig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TurnerALM!$G$76:$G$93</c:f>
              <c:numCache>
                <c:formatCode>General</c:formatCode>
                <c:ptCount val="18"/>
                <c:pt idx="0">
                  <c:v>256337.64189177155</c:v>
                </c:pt>
                <c:pt idx="1">
                  <c:v>51267.528378354313</c:v>
                </c:pt>
                <c:pt idx="2">
                  <c:v>25633.764189177156</c:v>
                </c:pt>
                <c:pt idx="3">
                  <c:v>12816.882094588578</c:v>
                </c:pt>
                <c:pt idx="4">
                  <c:v>8544.5880630590527</c:v>
                </c:pt>
                <c:pt idx="5">
                  <c:v>6408.4410472942891</c:v>
                </c:pt>
                <c:pt idx="6">
                  <c:v>5126.7528378354309</c:v>
                </c:pt>
                <c:pt idx="7">
                  <c:v>4272.2940315295264</c:v>
                </c:pt>
                <c:pt idx="8">
                  <c:v>3661.9663127395938</c:v>
                </c:pt>
                <c:pt idx="9">
                  <c:v>3204.2205236471445</c:v>
                </c:pt>
                <c:pt idx="10">
                  <c:v>2848.1960210196839</c:v>
                </c:pt>
                <c:pt idx="11">
                  <c:v>2563.3764189177155</c:v>
                </c:pt>
                <c:pt idx="12">
                  <c:v>1281.6882094588577</c:v>
                </c:pt>
                <c:pt idx="13">
                  <c:v>854.45880630590523</c:v>
                </c:pt>
                <c:pt idx="14">
                  <c:v>640.84410472942886</c:v>
                </c:pt>
                <c:pt idx="15">
                  <c:v>512.67528378354314</c:v>
                </c:pt>
                <c:pt idx="16">
                  <c:v>512.67528378354314</c:v>
                </c:pt>
                <c:pt idx="17">
                  <c:v>427.22940315295261</c:v>
                </c:pt>
              </c:numCache>
            </c:numRef>
          </c:xVal>
          <c:yVal>
            <c:numRef>
              <c:f>TurnerALM!$B$76:$B$93</c:f>
              <c:numCache>
                <c:formatCode>General</c:formatCode>
                <c:ptCount val="18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5000</c:v>
                </c:pt>
                <c:pt idx="17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9B5-40B7-8D9D-FBE3D398E39C}"/>
            </c:ext>
          </c:extLst>
        </c:ser>
        <c:ser>
          <c:idx val="4"/>
          <c:order val="5"/>
          <c:tx>
            <c:strRef>
              <c:f>TurnerALM!$G$94</c:f>
              <c:strCache>
                <c:ptCount val="1"/>
                <c:pt idx="0">
                  <c:v>2.375" 4000psig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TurnerALM!$G$95:$G$111</c:f>
              <c:numCache>
                <c:formatCode>General</c:formatCode>
                <c:ptCount val="17"/>
                <c:pt idx="0">
                  <c:v>282042.51535218977</c:v>
                </c:pt>
                <c:pt idx="1">
                  <c:v>56408.503070437953</c:v>
                </c:pt>
                <c:pt idx="2">
                  <c:v>28204.251535218977</c:v>
                </c:pt>
                <c:pt idx="3">
                  <c:v>14102.125767609488</c:v>
                </c:pt>
                <c:pt idx="4">
                  <c:v>9401.4171784063255</c:v>
                </c:pt>
                <c:pt idx="5">
                  <c:v>7051.0628838047442</c:v>
                </c:pt>
                <c:pt idx="6">
                  <c:v>5640.8503070437955</c:v>
                </c:pt>
                <c:pt idx="7">
                  <c:v>4700.7085892031628</c:v>
                </c:pt>
                <c:pt idx="8">
                  <c:v>4029.1787907455682</c:v>
                </c:pt>
                <c:pt idx="9">
                  <c:v>3525.5314419023721</c:v>
                </c:pt>
                <c:pt idx="10">
                  <c:v>3133.805726135442</c:v>
                </c:pt>
                <c:pt idx="11">
                  <c:v>2820.4251535218978</c:v>
                </c:pt>
                <c:pt idx="12">
                  <c:v>1410.2125767609489</c:v>
                </c:pt>
                <c:pt idx="13">
                  <c:v>940.14171784063262</c:v>
                </c:pt>
                <c:pt idx="14">
                  <c:v>705.10628838047444</c:v>
                </c:pt>
                <c:pt idx="15">
                  <c:v>564.08503070437951</c:v>
                </c:pt>
                <c:pt idx="16">
                  <c:v>470.07085892031631</c:v>
                </c:pt>
              </c:numCache>
            </c:numRef>
          </c:xVal>
          <c:yVal>
            <c:numRef>
              <c:f>TurnerALM!$B$95:$B$111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9B5-40B7-8D9D-FBE3D398E39C}"/>
            </c:ext>
          </c:extLst>
        </c:ser>
        <c:ser>
          <c:idx val="5"/>
          <c:order val="6"/>
          <c:tx>
            <c:strRef>
              <c:f>TurnerALM!$G$112</c:f>
              <c:strCache>
                <c:ptCount val="1"/>
                <c:pt idx="0">
                  <c:v>2.375" 5000psig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TurnerALM!$G$113:$G$129</c:f>
              <c:numCache>
                <c:formatCode>General</c:formatCode>
                <c:ptCount val="17"/>
                <c:pt idx="0">
                  <c:v>298558.83887535927</c:v>
                </c:pt>
                <c:pt idx="1">
                  <c:v>59711.767775071858</c:v>
                </c:pt>
                <c:pt idx="2">
                  <c:v>29855.883887535929</c:v>
                </c:pt>
                <c:pt idx="3">
                  <c:v>14927.941943767964</c:v>
                </c:pt>
                <c:pt idx="4">
                  <c:v>9951.961295845309</c:v>
                </c:pt>
                <c:pt idx="5">
                  <c:v>7463.9709718839822</c:v>
                </c:pt>
                <c:pt idx="6">
                  <c:v>5971.1767775071858</c:v>
                </c:pt>
                <c:pt idx="7">
                  <c:v>4975.9806479226545</c:v>
                </c:pt>
                <c:pt idx="8">
                  <c:v>4265.1262696479898</c:v>
                </c:pt>
                <c:pt idx="9">
                  <c:v>3731.9854859419911</c:v>
                </c:pt>
                <c:pt idx="10">
                  <c:v>3317.3204319484366</c:v>
                </c:pt>
                <c:pt idx="11">
                  <c:v>2985.5883887535929</c:v>
                </c:pt>
                <c:pt idx="12">
                  <c:v>1492.7941943767964</c:v>
                </c:pt>
                <c:pt idx="13">
                  <c:v>995.19612958453104</c:v>
                </c:pt>
                <c:pt idx="14">
                  <c:v>746.39709718839822</c:v>
                </c:pt>
                <c:pt idx="15">
                  <c:v>597.1176777507186</c:v>
                </c:pt>
                <c:pt idx="16">
                  <c:v>497.59806479226552</c:v>
                </c:pt>
              </c:numCache>
            </c:numRef>
          </c:xVal>
          <c:yVal>
            <c:numRef>
              <c:f>TurnerALM!$B$113:$B$129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9B5-40B7-8D9D-FBE3D398E39C}"/>
            </c:ext>
          </c:extLst>
        </c:ser>
        <c:ser>
          <c:idx val="6"/>
          <c:order val="7"/>
          <c:tx>
            <c:strRef>
              <c:f>TurnerALM!$G$130</c:f>
              <c:strCache>
                <c:ptCount val="1"/>
                <c:pt idx="0">
                  <c:v>2.375" 6000psig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TurnerALM!$G$131:$G$147</c:f>
              <c:numCache>
                <c:formatCode>General</c:formatCode>
                <c:ptCount val="17"/>
                <c:pt idx="0">
                  <c:v>309961.24581563217</c:v>
                </c:pt>
                <c:pt idx="1">
                  <c:v>61992.249163126435</c:v>
                </c:pt>
                <c:pt idx="2">
                  <c:v>30996.124581563217</c:v>
                </c:pt>
                <c:pt idx="3">
                  <c:v>15498.062290781609</c:v>
                </c:pt>
                <c:pt idx="4">
                  <c:v>10332.041527187739</c:v>
                </c:pt>
                <c:pt idx="5">
                  <c:v>7749.0311453908043</c:v>
                </c:pt>
                <c:pt idx="6">
                  <c:v>6199.2249163126435</c:v>
                </c:pt>
                <c:pt idx="7">
                  <c:v>5166.0207635938696</c:v>
                </c:pt>
                <c:pt idx="8">
                  <c:v>4428.0177973661739</c:v>
                </c:pt>
                <c:pt idx="9">
                  <c:v>3874.5155726954022</c:v>
                </c:pt>
                <c:pt idx="10">
                  <c:v>3444.0138423959129</c:v>
                </c:pt>
                <c:pt idx="11">
                  <c:v>3099.6124581563217</c:v>
                </c:pt>
                <c:pt idx="12">
                  <c:v>1549.8062290781609</c:v>
                </c:pt>
                <c:pt idx="13">
                  <c:v>1033.2041527187739</c:v>
                </c:pt>
                <c:pt idx="14">
                  <c:v>774.90311453908043</c:v>
                </c:pt>
                <c:pt idx="15">
                  <c:v>619.92249163126428</c:v>
                </c:pt>
                <c:pt idx="16">
                  <c:v>516.60207635938696</c:v>
                </c:pt>
              </c:numCache>
            </c:numRef>
          </c:xVal>
          <c:yVal>
            <c:numRef>
              <c:f>TurnerALM!$B$131:$B$147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1000</c:v>
                </c:pt>
                <c:pt idx="12">
                  <c:v>2000</c:v>
                </c:pt>
                <c:pt idx="13">
                  <c:v>3000</c:v>
                </c:pt>
                <c:pt idx="14">
                  <c:v>4000</c:v>
                </c:pt>
                <c:pt idx="15">
                  <c:v>5000</c:v>
                </c:pt>
                <c:pt idx="16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B9B5-40B7-8D9D-FBE3D398E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534384"/>
        <c:axId val="1356534864"/>
      </c:scatterChart>
      <c:valAx>
        <c:axId val="1356534384"/>
        <c:scaling>
          <c:logBase val="10"/>
          <c:orientation val="minMax"/>
          <c:max val="10000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864"/>
        <c:crosses val="autoZero"/>
        <c:crossBetween val="midCat"/>
      </c:valAx>
      <c:valAx>
        <c:axId val="1356534864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strRef>
              <c:f>TurnerAll!$D$25</c:f>
              <c:strCache>
                <c:ptCount val="1"/>
                <c:pt idx="0">
                  <c:v>Ql[bbld]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4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203200</xdr:colOff>
      <xdr:row>20</xdr:row>
      <xdr:rowOff>76200</xdr:rowOff>
    </xdr:from>
    <xdr:to>
      <xdr:col>15</xdr:col>
      <xdr:colOff>0</xdr:colOff>
      <xdr:row>38</xdr:row>
      <xdr:rowOff>171450</xdr:rowOff>
    </xdr:to>
    <xdr:graphicFrame macro="">
      <xdr:nvGraphicFramePr>
        <xdr:cNvPr id="13" name="Chart 2">
          <a:extLst>
            <a:ext uri="{FF2B5EF4-FFF2-40B4-BE49-F238E27FC236}">
              <a16:creationId xmlns:a16="http://schemas.microsoft.com/office/drawing/2014/main" id="{CC6A4494-025F-4953-AB6A-BF92E7271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</xdr:col>
      <xdr:colOff>12700</xdr:colOff>
      <xdr:row>0</xdr:row>
      <xdr:rowOff>0</xdr:rowOff>
    </xdr:from>
    <xdr:to>
      <xdr:col>7</xdr:col>
      <xdr:colOff>500380</xdr:colOff>
      <xdr:row>18</xdr:row>
      <xdr:rowOff>19050</xdr:rowOff>
    </xdr:to>
    <xdr:graphicFrame macro="">
      <xdr:nvGraphicFramePr>
        <xdr:cNvPr id="11" name="Chart 3">
          <a:extLst>
            <a:ext uri="{FF2B5EF4-FFF2-40B4-BE49-F238E27FC236}">
              <a16:creationId xmlns:a16="http://schemas.microsoft.com/office/drawing/2014/main" id="{43F674CD-1922-B6C9-FC6A-DFD7AB22B2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165100</xdr:colOff>
      <xdr:row>0</xdr:row>
      <xdr:rowOff>0</xdr:rowOff>
    </xdr:from>
    <xdr:to>
      <xdr:col>14</xdr:col>
      <xdr:colOff>652780</xdr:colOff>
      <xdr:row>18</xdr:row>
      <xdr:rowOff>25400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id="{FFF1FDB5-1CF6-49F0-851C-FB059D9224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7</xdr:col>
      <xdr:colOff>488950</xdr:colOff>
      <xdr:row>0</xdr:row>
      <xdr:rowOff>0</xdr:rowOff>
    </xdr:from>
    <xdr:to>
      <xdr:col>11</xdr:col>
      <xdr:colOff>163830</xdr:colOff>
      <xdr:row>18</xdr:row>
      <xdr:rowOff>19050</xdr:rowOff>
    </xdr:to>
    <xdr:graphicFrame macro="">
      <xdr:nvGraphicFramePr>
        <xdr:cNvPr id="14" name="Chart 3">
          <a:extLst>
            <a:ext uri="{FF2B5EF4-FFF2-40B4-BE49-F238E27FC236}">
              <a16:creationId xmlns:a16="http://schemas.microsoft.com/office/drawing/2014/main" id="{284AD82C-CE11-46DB-AE05-09E499CA0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195729</xdr:colOff>
      <xdr:row>18</xdr:row>
      <xdr:rowOff>104962</xdr:rowOff>
    </xdr:from>
    <xdr:to>
      <xdr:col>18</xdr:col>
      <xdr:colOff>67235</xdr:colOff>
      <xdr:row>38</xdr:row>
      <xdr:rowOff>194236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8380177-08B5-A5CC-4EC9-379DDEC037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14</xdr:col>
      <xdr:colOff>660400</xdr:colOff>
      <xdr:row>0</xdr:row>
      <xdr:rowOff>0</xdr:rowOff>
    </xdr:from>
    <xdr:to>
      <xdr:col>18</xdr:col>
      <xdr:colOff>335280</xdr:colOff>
      <xdr:row>18</xdr:row>
      <xdr:rowOff>25400</xdr:rowOff>
    </xdr:to>
    <xdr:graphicFrame macro="">
      <xdr:nvGraphicFramePr>
        <xdr:cNvPr id="16" name="Chart 4">
          <a:extLst>
            <a:ext uri="{FF2B5EF4-FFF2-40B4-BE49-F238E27FC236}">
              <a16:creationId xmlns:a16="http://schemas.microsoft.com/office/drawing/2014/main" id="{AE588273-6BE7-41AA-BF57-E830F5F560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717177</xdr:colOff>
      <xdr:row>1</xdr:row>
      <xdr:rowOff>44825</xdr:rowOff>
    </xdr:from>
    <xdr:to>
      <xdr:col>24</xdr:col>
      <xdr:colOff>784412</xdr:colOff>
      <xdr:row>22</xdr:row>
      <xdr:rowOff>437405</xdr:rowOff>
    </xdr:to>
    <xdr:pic>
      <xdr:nvPicPr>
        <xdr:cNvPr id="2" name="Picture 1" descr="Figure 1 Refer to the image caption for details.">
          <a:extLst>
            <a:ext uri="{FF2B5EF4-FFF2-40B4-BE49-F238E27FC236}">
              <a16:creationId xmlns:a16="http://schemas.microsoft.com/office/drawing/2014/main" id="{51BD3B4D-D458-46A3-A0C5-386BE4EC2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59824" y="268943"/>
          <a:ext cx="4953000" cy="509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133350</xdr:colOff>
      <xdr:row>0</xdr:row>
      <xdr:rowOff>206375</xdr:rowOff>
    </xdr:from>
    <xdr:to>
      <xdr:col>15</xdr:col>
      <xdr:colOff>685799</xdr:colOff>
      <xdr:row>11</xdr:row>
      <xdr:rowOff>25401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FC9AAE-BCDF-3DCF-D169-6F601E48A4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161925</xdr:colOff>
      <xdr:row>11</xdr:row>
      <xdr:rowOff>117475</xdr:rowOff>
    </xdr:from>
    <xdr:to>
      <xdr:col>15</xdr:col>
      <xdr:colOff>669925</xdr:colOff>
      <xdr:row>23</xdr:row>
      <xdr:rowOff>193675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3BD501-6D0A-3617-E982-C02BA7CB2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307975</xdr:colOff>
      <xdr:row>25</xdr:row>
      <xdr:rowOff>190500</xdr:rowOff>
    </xdr:from>
    <xdr:to>
      <xdr:col>16</xdr:col>
      <xdr:colOff>723901</xdr:colOff>
      <xdr:row>41</xdr:row>
      <xdr:rowOff>44449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B34FF0-3290-4E48-3E06-9AEFF905B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301625</xdr:colOff>
      <xdr:row>6</xdr:row>
      <xdr:rowOff>184150</xdr:rowOff>
    </xdr:from>
    <xdr:to>
      <xdr:col>22</xdr:col>
      <xdr:colOff>533400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AC6508-5323-4DAC-25A6-CCDAC0616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328706</xdr:colOff>
      <xdr:row>2</xdr:row>
      <xdr:rowOff>97594</xdr:rowOff>
    </xdr:from>
    <xdr:to>
      <xdr:col>44</xdr:col>
      <xdr:colOff>106457</xdr:colOff>
      <xdr:row>40</xdr:row>
      <xdr:rowOff>111582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FF14A34B-DE0B-60A2-BDD3-4ABBAA235604}"/>
            </a:ext>
          </a:extLst>
        </xdr:cNvPr>
        <xdr:cNvGrpSpPr/>
      </xdr:nvGrpSpPr>
      <xdr:grpSpPr>
        <a:xfrm>
          <a:off x="29386306" y="542094"/>
          <a:ext cx="7092951" cy="9126238"/>
          <a:chOff x="27327412" y="777418"/>
          <a:chExt cx="7106398" cy="9202812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CE290992-9028-43D2-A8BE-D33964F50583}"/>
              </a:ext>
            </a:extLst>
          </xdr:cNvPr>
          <xdr:cNvGraphicFramePr>
            <a:graphicFrameLocks/>
          </xdr:cNvGraphicFramePr>
        </xdr:nvGraphicFramePr>
        <xdr:xfrm>
          <a:off x="27327412" y="5378824"/>
          <a:ext cx="7106398" cy="46014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EBE23CC8-4028-49DF-A826-79AE70CA0D2F}"/>
              </a:ext>
            </a:extLst>
          </xdr:cNvPr>
          <xdr:cNvGraphicFramePr>
            <a:graphicFrameLocks/>
          </xdr:cNvGraphicFramePr>
        </xdr:nvGraphicFramePr>
        <xdr:xfrm>
          <a:off x="27327412" y="777418"/>
          <a:ext cx="7106398" cy="46014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520937</xdr:colOff>
      <xdr:row>2</xdr:row>
      <xdr:rowOff>317500</xdr:rowOff>
    </xdr:from>
    <xdr:to>
      <xdr:col>40</xdr:col>
      <xdr:colOff>423956</xdr:colOff>
      <xdr:row>34</xdr:row>
      <xdr:rowOff>36571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51BEA75F-A3F2-F513-3C2E-6B2F25B66A6C}"/>
            </a:ext>
          </a:extLst>
        </xdr:cNvPr>
        <xdr:cNvGrpSpPr/>
      </xdr:nvGrpSpPr>
      <xdr:grpSpPr>
        <a:xfrm>
          <a:off x="27140137" y="762000"/>
          <a:ext cx="6405419" cy="7275571"/>
          <a:chOff x="20910040" y="1740647"/>
          <a:chExt cx="6417372" cy="7337204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9AAE5BA-81DF-4147-A853-33BBA8CC56FB}"/>
              </a:ext>
            </a:extLst>
          </xdr:cNvPr>
          <xdr:cNvGraphicFramePr>
            <a:graphicFrameLocks/>
          </xdr:cNvGraphicFramePr>
        </xdr:nvGraphicFramePr>
        <xdr:xfrm>
          <a:off x="20914659" y="1740647"/>
          <a:ext cx="6412753" cy="369223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D88FCAF7-A756-4D36-95E9-F6B7C55228AA}"/>
              </a:ext>
            </a:extLst>
          </xdr:cNvPr>
          <xdr:cNvGraphicFramePr>
            <a:graphicFrameLocks/>
          </xdr:cNvGraphicFramePr>
        </xdr:nvGraphicFramePr>
        <xdr:xfrm>
          <a:off x="20910040" y="5378824"/>
          <a:ext cx="6417372" cy="36990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34</xdr:col>
      <xdr:colOff>404905</xdr:colOff>
      <xdr:row>36</xdr:row>
      <xdr:rowOff>76573</xdr:rowOff>
    </xdr:from>
    <xdr:to>
      <xdr:col>40</xdr:col>
      <xdr:colOff>91140</xdr:colOff>
      <xdr:row>47</xdr:row>
      <xdr:rowOff>130362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F1C2A17-921F-FBF4-2195-430B6C45DF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35</xdr:col>
      <xdr:colOff>343272</xdr:colOff>
      <xdr:row>51</xdr:row>
      <xdr:rowOff>158001</xdr:rowOff>
    </xdr:from>
    <xdr:to>
      <xdr:col>43</xdr:col>
      <xdr:colOff>235559</xdr:colOff>
      <xdr:row>67</xdr:row>
      <xdr:rowOff>37351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8EF6E70-8D94-42D6-8609-634520F776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32</xdr:col>
      <xdr:colOff>286125</xdr:colOff>
      <xdr:row>0</xdr:row>
      <xdr:rowOff>141569</xdr:rowOff>
    </xdr:from>
    <xdr:to>
      <xdr:col>41</xdr:col>
      <xdr:colOff>76200</xdr:colOff>
      <xdr:row>16</xdr:row>
      <xdr:rowOff>158750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7EE6427-CE28-4F62-B782-A76B60408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17</xdr:col>
      <xdr:colOff>469900</xdr:colOff>
      <xdr:row>1</xdr:row>
      <xdr:rowOff>69850</xdr:rowOff>
    </xdr:from>
    <xdr:to>
      <xdr:col>24</xdr:col>
      <xdr:colOff>349250</xdr:colOff>
      <xdr:row>17</xdr:row>
      <xdr:rowOff>76199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2595C8-9D82-4665-8828-A5196F4C1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5DB5FE-8D0D-4308-9208-AEB4D6E22734}" name="Table1" displayName="Table1" ref="C25:N178" totalsRowShown="0" headerRowDxfId="12">
  <autoFilter ref="C25:N178" xr:uid="{845DB5FE-8D0D-4308-9208-AEB4D6E22734}">
    <filterColumn colId="0">
      <filters>
        <filter val="65"/>
      </filters>
    </filterColumn>
  </autoFilter>
  <tableColumns count="12">
    <tableColumn id="1" xr3:uid="{8927B0F9-7BF6-4108-BEF3-2FD50323E24B}" name="Pressure" dataDxfId="11"/>
    <tableColumn id="2" xr3:uid="{91293F4F-2226-4309-B548-B062C3427DEB}" name="Ql[bbld]" dataDxfId="10"/>
    <tableColumn id="3" xr3:uid="{C8FCD9F0-AACE-4290-9FE9-B778381614EF}" name="GLR, 1.25" dataDxfId="9">
      <calculatedColumnFormula array="1">(_xll.Turner.GasRateStd(_xll.Turner.GasVelocityWater($C$2, $C26, $C$1), E$5, $C26, $C$1, $C$2)*1000000)/$D26</calculatedColumnFormula>
    </tableColumn>
    <tableColumn id="4" xr3:uid="{D9669CA5-2DE4-4A9E-A5EF-9E77D4468A3D}" name="GLR, 1.5" dataDxfId="8">
      <calculatedColumnFormula array="1">(_xll.Turner.GasRateStd(_xll.Turner.GasVelocityWater($C$2, $C26, $C$1), F$5, $C26, $C$1, $C$2)*1000000)/$D26</calculatedColumnFormula>
    </tableColumn>
    <tableColumn id="5" xr3:uid="{141CECF3-33F3-431D-BA9A-F6E205D44788}" name="GLR, 1.75" dataDxfId="7">
      <calculatedColumnFormula array="1">(_xll.Turner.GasRateStd(_xll.Turner.GasVelocityWater($C$2, $C26, $C$1), G$5, $C26, $C$1, $C$2)*1000000)/$D26</calculatedColumnFormula>
    </tableColumn>
    <tableColumn id="6" xr3:uid="{EF48D25D-56F6-4761-9A32-4E246C59940A}" name="GLR, 1.9" dataDxfId="6">
      <calculatedColumnFormula array="1">(_xll.Turner.GasRateStd(_xll.Turner.GasVelocityWater($C$2, $C26, $C$1), H$5, $C26, $C$1, $C$2)*1000000)/$D26</calculatedColumnFormula>
    </tableColumn>
    <tableColumn id="7" xr3:uid="{81C88D71-A6E8-4DC6-9097-7902DC271E38}" name="GLR, 2.375" dataDxfId="5">
      <calculatedColumnFormula array="1">(_xll.Turner.GasRateStd(_xll.Turner.GasVelocityWater($C$2, $C26, $C$1), I$5, $C26, $C$1, $C$2)*1000000)/$D26</calculatedColumnFormula>
    </tableColumn>
    <tableColumn id="8" xr3:uid="{9965FE85-CA3D-45EC-9FE3-C54A30338C7B}" name="GLR, 2.875" dataDxfId="4">
      <calculatedColumnFormula array="1">(_xll.Turner.GasRateStd(_xll.Turner.GasVelocityWater($C$2, $C26, $C$1), J$5, $C26, $C$1, $C$2)*1000000)/$D26</calculatedColumnFormula>
    </tableColumn>
    <tableColumn id="9" xr3:uid="{8E5EB51A-9DFC-4342-85DD-41F82F1C8C6F}" name="GLR, 3.5" dataDxfId="3">
      <calculatedColumnFormula array="1">(_xll.Turner.GasRateStd(_xll.Turner.GasVelocityWater($C$2, $C26, $C$1), K$5, $C26, $C$1, $C$2)*1000000)/$D26</calculatedColumnFormula>
    </tableColumn>
    <tableColumn id="10" xr3:uid="{FA557AEA-2C02-426A-94C9-2E0C63D84CAF}" name="GLR, 4.5" dataDxfId="2">
      <calculatedColumnFormula array="1">(_xll.Turner.GasRateStd(_xll.Turner.GasVelocityWater($C$2, $C26, $C$1), L$5, $C26, $C$1, $C$2)*1000000)/$D26</calculatedColumnFormula>
    </tableColumn>
    <tableColumn id="11" xr3:uid="{F8AAD41B-2319-4538-98C2-95BFBACBFDB4}" name="GLR, 5.5" dataDxfId="1">
      <calculatedColumnFormula array="1">(_xll.Turner.GasRateStd(_xll.Turner.GasVelocityWater($C$2, $C26, $C$1), M$5, $C26, $C$1, $C$2)*1000000)/$D26</calculatedColumnFormula>
    </tableColumn>
    <tableColumn id="12" xr3:uid="{5E583E5F-0E1A-4FB2-8F10-18A66C251135}" name="GLR, 7" dataDxfId="0">
      <calculatedColumnFormula array="1">(_xll.Turner.GasRateStd(_xll.Turner.GasVelocityWater($C$2, $C26, $C$1), N$5, $C26, $C$1, $C$2)*1000000)/$D26</calculatedColumnFormula>
    </tableColumn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739F-2965-46CA-A326-C55822D70EA9}">
  <sheetPr codeName="Sheet1"/>
  <dimension ref="A2:O124"/>
  <sheetViews>
    <sheetView zoomScale="85" zoomScaleNormal="85" workbookViewId="0">
      <selection activeCell="A43" sqref="A43"/>
    </sheetView>
  </sheetViews>
  <sheetFormatPr defaultRowHeight="17.5" x14ac:dyDescent="0.45"/>
  <cols>
    <col min="1" max="1" width="42.35546875" bestFit="1" customWidth="1"/>
    <col min="2" max="3" width="9.92578125" customWidth="1"/>
  </cols>
  <sheetData>
    <row r="2" spans="1:4" x14ac:dyDescent="0.45">
      <c r="A2" t="s">
        <v>0</v>
      </c>
      <c r="B2">
        <v>10000</v>
      </c>
      <c r="C2" t="s">
        <v>29</v>
      </c>
    </row>
    <row r="3" spans="1:4" x14ac:dyDescent="0.45">
      <c r="A3" t="s">
        <v>1</v>
      </c>
      <c r="B3">
        <v>2.2589999999999999</v>
      </c>
      <c r="C3" t="s">
        <v>30</v>
      </c>
      <c r="D3">
        <f>(PI()/4)*($B$3/12)^2</f>
        <v>2.7832989201863983E-2</v>
      </c>
    </row>
    <row r="4" spans="1:4" x14ac:dyDescent="0.45">
      <c r="A4" t="s">
        <v>2</v>
      </c>
      <c r="B4">
        <v>45.38</v>
      </c>
      <c r="C4" t="s">
        <v>34</v>
      </c>
      <c r="D4" s="3">
        <f>(141.5 / (131.5 + B4))</f>
        <v>0.79997738579828137</v>
      </c>
    </row>
    <row r="5" spans="1:4" x14ac:dyDescent="0.45">
      <c r="A5" t="s">
        <v>4</v>
      </c>
      <c r="B5">
        <v>0.70899999999999996</v>
      </c>
      <c r="C5" t="s">
        <v>31</v>
      </c>
    </row>
    <row r="6" spans="1:4" x14ac:dyDescent="0.45">
      <c r="A6" t="s">
        <v>5</v>
      </c>
      <c r="B6">
        <v>800</v>
      </c>
      <c r="C6" t="s">
        <v>19</v>
      </c>
    </row>
    <row r="7" spans="1:4" x14ac:dyDescent="0.45">
      <c r="A7" t="s">
        <v>6</v>
      </c>
      <c r="B7">
        <v>90</v>
      </c>
      <c r="C7" t="s">
        <v>35</v>
      </c>
    </row>
    <row r="8" spans="1:4" x14ac:dyDescent="0.45">
      <c r="A8" t="s">
        <v>7</v>
      </c>
      <c r="B8">
        <v>175</v>
      </c>
      <c r="C8" t="s">
        <v>35</v>
      </c>
    </row>
    <row r="9" spans="1:4" x14ac:dyDescent="0.45">
      <c r="A9" t="s">
        <v>8</v>
      </c>
      <c r="B9">
        <v>2000</v>
      </c>
      <c r="C9" t="s">
        <v>33</v>
      </c>
    </row>
    <row r="10" spans="1:4" x14ac:dyDescent="0.45">
      <c r="A10" t="s">
        <v>3</v>
      </c>
      <c r="B10">
        <v>1</v>
      </c>
      <c r="C10" t="s">
        <v>32</v>
      </c>
    </row>
    <row r="11" spans="1:4" x14ac:dyDescent="0.45">
      <c r="A11" t="s">
        <v>9</v>
      </c>
      <c r="B11">
        <v>0</v>
      </c>
      <c r="C11" t="s">
        <v>37</v>
      </c>
    </row>
    <row r="12" spans="1:4" x14ac:dyDescent="0.45">
      <c r="A12" t="s">
        <v>17</v>
      </c>
      <c r="B12">
        <f>(B11/100)*B9</f>
        <v>0</v>
      </c>
      <c r="C12" t="s">
        <v>18</v>
      </c>
    </row>
    <row r="13" spans="1:4" x14ac:dyDescent="0.45">
      <c r="A13" t="s">
        <v>13</v>
      </c>
      <c r="B13">
        <f>B10*B9</f>
        <v>2000</v>
      </c>
      <c r="C13" t="s">
        <v>36</v>
      </c>
    </row>
    <row r="14" spans="1:4" x14ac:dyDescent="0.45">
      <c r="A14" t="s">
        <v>15</v>
      </c>
      <c r="B14" s="1" cm="1">
        <f t="array" ref="B14">_xll.StandingSolutionGasOil(B4, B5)/2</f>
        <v>753.10499308735132</v>
      </c>
    </row>
    <row r="15" spans="1:4" x14ac:dyDescent="0.45">
      <c r="A15" t="s">
        <v>14</v>
      </c>
      <c r="B15" s="1" cm="1">
        <f t="array" ref="B15">_xll.VelardeBubblePoint(B7, B4, B5, B14)</f>
        <v>2109.1175111984317</v>
      </c>
    </row>
    <row r="16" spans="1:4" x14ac:dyDescent="0.45">
      <c r="A16" t="s">
        <v>10</v>
      </c>
      <c r="B16">
        <v>30</v>
      </c>
      <c r="C16" t="s">
        <v>38</v>
      </c>
    </row>
    <row r="17" spans="1:15" x14ac:dyDescent="0.45">
      <c r="A17" t="s">
        <v>11</v>
      </c>
      <c r="B17">
        <v>1.05</v>
      </c>
      <c r="C17" t="s">
        <v>39</v>
      </c>
    </row>
    <row r="18" spans="1:15" x14ac:dyDescent="0.45">
      <c r="A18" s="4" t="s">
        <v>20</v>
      </c>
      <c r="B18" s="1" cm="1">
        <f t="array" ref="B18">_xll.StaticBHP(B2, B6, B5, B2, ((B7+B8)/2)+459.67)</f>
        <v>1035.1841899118415</v>
      </c>
      <c r="C18" t="s">
        <v>19</v>
      </c>
    </row>
    <row r="19" spans="1:15" x14ac:dyDescent="0.45">
      <c r="A19" s="4" t="s">
        <v>24</v>
      </c>
      <c r="B19" s="3" cm="1">
        <f t="array" ref="B19">_xll.GasZKatz(B6, B7+459.67, B5)</f>
        <v>0.84999195714702724</v>
      </c>
    </row>
    <row r="20" spans="1:15" x14ac:dyDescent="0.45">
      <c r="A20" s="4" t="s">
        <v>62</v>
      </c>
      <c r="B20" s="3" cm="1">
        <f t="array" ref="B20">_xll.GasZKatz(B18, B7+459.67, B5)</f>
        <v>0.80880108207547829</v>
      </c>
      <c r="E20" t="s">
        <v>103</v>
      </c>
    </row>
    <row r="21" spans="1:15" x14ac:dyDescent="0.45">
      <c r="A21" s="4" t="s">
        <v>40</v>
      </c>
      <c r="B21" s="7">
        <v>101</v>
      </c>
    </row>
    <row r="23" spans="1:15" ht="52.5" x14ac:dyDescent="0.45">
      <c r="A23" s="4" t="s">
        <v>41</v>
      </c>
      <c r="B23" s="6" t="s">
        <v>21</v>
      </c>
      <c r="C23" s="6" t="s">
        <v>26</v>
      </c>
      <c r="D23" s="6" t="s">
        <v>27</v>
      </c>
      <c r="E23" s="6" t="s">
        <v>28</v>
      </c>
      <c r="F23" s="6" t="s">
        <v>16</v>
      </c>
      <c r="G23" s="6" t="s">
        <v>22</v>
      </c>
      <c r="H23" s="6" t="s">
        <v>23</v>
      </c>
      <c r="I23" s="6" t="s">
        <v>63</v>
      </c>
      <c r="J23" s="6" t="s">
        <v>61</v>
      </c>
      <c r="K23" s="6" t="s">
        <v>64</v>
      </c>
    </row>
    <row r="24" spans="1:15" x14ac:dyDescent="0.45">
      <c r="A24">
        <v>1</v>
      </c>
      <c r="B24" s="2" cm="1">
        <f t="array" ref="B24:H124">_xll.HagedornBrown(B2,B3,B15,B14,D4,B5,B17,B16,B6,B7,B8,B9,B12,B13,$B$21)</f>
        <v>0</v>
      </c>
      <c r="C24" s="2">
        <v>800</v>
      </c>
      <c r="D24" s="2">
        <v>90</v>
      </c>
      <c r="E24" s="1">
        <v>3.2776920253988111</v>
      </c>
      <c r="F24" s="1">
        <v>0.92206679176749995</v>
      </c>
      <c r="G24" s="1">
        <v>4.6698847511192678</v>
      </c>
      <c r="H24" s="1">
        <v>1.3739564100249521E-2</v>
      </c>
      <c r="I24" s="1" cm="1">
        <f t="array" ref="I24">_xll.Turner.GasVelocityWater($B$5,C24,D24+459.67)</f>
        <v>8.7820440916806</v>
      </c>
      <c r="J24" s="1" cm="1">
        <f t="array" ref="J24">_xll.Turner.GasRateStd(I24, $D$3, C24, D24+459.67, $B$5)</f>
        <v>1.2807077184055957</v>
      </c>
      <c r="K24" s="1">
        <f>H24/I24</f>
        <v>1.5645063901768923E-3</v>
      </c>
    </row>
    <row r="25" spans="1:15" x14ac:dyDescent="0.45">
      <c r="A25">
        <f>A24+1</f>
        <v>2</v>
      </c>
      <c r="B25" s="2">
        <v>100</v>
      </c>
      <c r="C25" s="2">
        <v>835.30390934563172</v>
      </c>
      <c r="D25" s="2">
        <v>90.85</v>
      </c>
      <c r="E25" s="1">
        <v>3.2776920253988111</v>
      </c>
      <c r="F25" s="1">
        <v>0.92206679176749995</v>
      </c>
      <c r="G25" s="1">
        <v>4.6698847511192678</v>
      </c>
      <c r="H25" s="1">
        <v>1.3739564100249521E-2</v>
      </c>
      <c r="I25" s="1" cm="1">
        <f t="array" ref="I25">_xll.Turner.GasVelocityWater($B$5,C25,D25+459.67)</f>
        <v>8.5679496376911306</v>
      </c>
      <c r="J25" s="1" cm="1">
        <f t="array" ref="J25">_xll.Turner.GasRateStd(I25, $D$3, C25, D25+459.67, $B$5)</f>
        <v>1.3110497923112607</v>
      </c>
      <c r="K25" s="1">
        <f t="shared" ref="K25:K88" si="0">H25/I25</f>
        <v>1.6036000071485042E-3</v>
      </c>
    </row>
    <row r="26" spans="1:15" x14ac:dyDescent="0.45">
      <c r="A26">
        <f t="shared" ref="A26:A89" si="1">A25+1</f>
        <v>3</v>
      </c>
      <c r="B26" s="2">
        <v>200</v>
      </c>
      <c r="C26" s="2">
        <v>870.42578889197705</v>
      </c>
      <c r="D26" s="2">
        <v>91.7</v>
      </c>
      <c r="E26" s="1">
        <v>3.4391887527697729</v>
      </c>
      <c r="F26" s="1">
        <v>0.91699641936720766</v>
      </c>
      <c r="G26" s="1">
        <v>4.6698847511192678</v>
      </c>
      <c r="H26" s="1">
        <v>1.3094384438067026E-2</v>
      </c>
      <c r="I26" s="1" cm="1">
        <f t="array" ref="I26">_xll.Turner.GasVelocityWater($B$5,C26,D26+459.67)</f>
        <v>8.3680581071256892</v>
      </c>
      <c r="J26" s="1" cm="1">
        <f t="array" ref="J26">_xll.Turner.GasRateStd(I26, $D$3, C26, D26+459.67, $B$5)</f>
        <v>1.3406635158395861</v>
      </c>
      <c r="K26" s="1">
        <f t="shared" si="0"/>
        <v>1.5648056299844176E-3</v>
      </c>
    </row>
    <row r="27" spans="1:15" x14ac:dyDescent="0.45">
      <c r="A27">
        <f t="shared" si="1"/>
        <v>4</v>
      </c>
      <c r="B27" s="2">
        <v>300</v>
      </c>
      <c r="C27" s="2">
        <v>905.36963593441453</v>
      </c>
      <c r="D27" s="2">
        <v>92.55</v>
      </c>
      <c r="E27" s="1">
        <v>3.6008815403955494</v>
      </c>
      <c r="F27" s="1">
        <v>0.91197943805291082</v>
      </c>
      <c r="G27" s="1">
        <v>4.6698847511192678</v>
      </c>
      <c r="H27" s="1">
        <v>1.2506398552310264E-2</v>
      </c>
      <c r="I27" s="1" cm="1">
        <f t="array" ref="I27">_xll.Turner.GasVelocityWater($B$5,C27,D27+459.67)</f>
        <v>8.1809450090653204</v>
      </c>
      <c r="J27" s="1" cm="1">
        <f t="array" ref="J27">_xll.Turner.GasRateStd(I27, $D$3, C27, D27+459.67, $B$5)</f>
        <v>1.3695806382869504</v>
      </c>
      <c r="K27" s="1">
        <f t="shared" si="0"/>
        <v>1.5287229700788724E-3</v>
      </c>
      <c r="O27" t="s">
        <v>12</v>
      </c>
    </row>
    <row r="28" spans="1:15" x14ac:dyDescent="0.45">
      <c r="A28">
        <f t="shared" si="1"/>
        <v>5</v>
      </c>
      <c r="B28" s="2">
        <v>400</v>
      </c>
      <c r="C28" s="2">
        <v>940.13949537972769</v>
      </c>
      <c r="D28" s="2">
        <v>93.4</v>
      </c>
      <c r="E28" s="1">
        <v>3.7626850267743501</v>
      </c>
      <c r="F28" s="1">
        <v>0.90702014644583007</v>
      </c>
      <c r="G28" s="1">
        <v>4.6698847511192678</v>
      </c>
      <c r="H28" s="1">
        <v>1.1968596723720495E-2</v>
      </c>
      <c r="I28" s="1" cm="1">
        <f t="array" ref="I28">_xll.Turner.GasVelocityWater($B$5,C28,D28+459.67)</f>
        <v>8.0053852356682444</v>
      </c>
      <c r="J28" s="1" cm="1">
        <f t="array" ref="J28">_xll.Turner.GasRateStd(I28, $D$3, C28, D28+459.67, $B$5)</f>
        <v>1.3978287228616264</v>
      </c>
      <c r="K28" s="1">
        <f t="shared" si="0"/>
        <v>1.4950681786547932E-3</v>
      </c>
      <c r="O28" s="5" t="s">
        <v>25</v>
      </c>
    </row>
    <row r="29" spans="1:15" x14ac:dyDescent="0.45">
      <c r="A29">
        <f t="shared" si="1"/>
        <v>6</v>
      </c>
      <c r="B29" s="2">
        <v>500</v>
      </c>
      <c r="C29" s="2">
        <v>974.73943389086321</v>
      </c>
      <c r="D29" s="2">
        <v>94.25</v>
      </c>
      <c r="E29" s="1">
        <v>3.9245101362628838</v>
      </c>
      <c r="F29" s="1">
        <v>0.902121991706899</v>
      </c>
      <c r="G29" s="1">
        <v>4.6698847511192678</v>
      </c>
      <c r="H29" s="1">
        <v>1.1475077938447461E-2</v>
      </c>
      <c r="I29" s="1" cm="1">
        <f t="array" ref="I29">_xll.Turner.GasVelocityWater($B$5,C29,D29+459.67)</f>
        <v>7.8403184577416045</v>
      </c>
      <c r="J29" s="1" cm="1">
        <f t="array" ref="J29">_xll.Turner.GasRateStd(I29, $D$3, C29, D29+459.67, $B$5)</f>
        <v>1.4254317575519644</v>
      </c>
      <c r="K29" s="1">
        <f t="shared" si="0"/>
        <v>1.4635984495141086E-3</v>
      </c>
    </row>
    <row r="30" spans="1:15" x14ac:dyDescent="0.45">
      <c r="A30">
        <f t="shared" si="1"/>
        <v>7</v>
      </c>
      <c r="B30" s="2">
        <v>600</v>
      </c>
      <c r="C30" s="2">
        <v>1009.1735202465309</v>
      </c>
      <c r="D30" s="2">
        <v>95.1</v>
      </c>
      <c r="E30" s="1">
        <v>4.086264342682683</v>
      </c>
      <c r="F30" s="1">
        <v>0.89728775806635264</v>
      </c>
      <c r="G30" s="1">
        <v>4.6698847511192678</v>
      </c>
      <c r="H30" s="1">
        <v>1.1020838572151265E-2</v>
      </c>
      <c r="I30" s="1" cm="1">
        <f t="array" ref="I30">_xll.Turner.GasVelocityWater($B$5,C30,D30+459.67)</f>
        <v>7.6848215127018529</v>
      </c>
      <c r="J30" s="1" cm="1">
        <f t="array" ref="J30">_xll.Turner.GasRateStd(I30, $D$3, C30, D30+459.67, $B$5)</f>
        <v>1.4524106774530605</v>
      </c>
      <c r="K30" s="1">
        <f t="shared" si="0"/>
        <v>1.4341046898663137E-3</v>
      </c>
    </row>
    <row r="31" spans="1:15" x14ac:dyDescent="0.45">
      <c r="A31">
        <f t="shared" si="1"/>
        <v>8</v>
      </c>
      <c r="B31" s="2">
        <v>700</v>
      </c>
      <c r="C31" s="2">
        <v>1043.4458102990807</v>
      </c>
      <c r="D31" s="2">
        <v>95.95</v>
      </c>
      <c r="E31" s="1">
        <v>4.2478520170199703</v>
      </c>
      <c r="F31" s="1">
        <v>0.89251970870311736</v>
      </c>
      <c r="G31" s="1">
        <v>4.6698847511192678</v>
      </c>
      <c r="H31" s="1">
        <v>1.0601607472059904E-2</v>
      </c>
      <c r="I31" s="1" cm="1">
        <f t="array" ref="I31">_xll.Turner.GasVelocityWater($B$5,C31,D31+459.67)</f>
        <v>7.5380861663863659</v>
      </c>
      <c r="J31" s="1" cm="1">
        <f t="array" ref="J31">_xll.Turner.GasRateStd(I31, $D$3, C31, D31+459.67, $B$5)</f>
        <v>1.4787838173330818</v>
      </c>
      <c r="K31" s="1">
        <f t="shared" si="0"/>
        <v>1.4064057159938435E-3</v>
      </c>
    </row>
    <row r="32" spans="1:15" x14ac:dyDescent="0.45">
      <c r="A32">
        <f t="shared" si="1"/>
        <v>9</v>
      </c>
      <c r="B32" s="2">
        <v>800</v>
      </c>
      <c r="C32" s="2">
        <v>1077.5603353165059</v>
      </c>
      <c r="D32" s="2">
        <v>96.8</v>
      </c>
      <c r="E32" s="1">
        <v>4.4091748618598752</v>
      </c>
      <c r="F32" s="1">
        <v>0.8878196919288146</v>
      </c>
      <c r="G32" s="1">
        <v>4.6698847511192678</v>
      </c>
      <c r="H32" s="1">
        <v>1.0213715966086093E-2</v>
      </c>
      <c r="I32" s="1" cm="1">
        <f t="array" ref="I32">_xll.Turner.GasVelocityWater($B$5,C32,D32+459.67)</f>
        <v>7.399401065493227</v>
      </c>
      <c r="J32" s="1" cm="1">
        <f t="array" ref="J32">_xll.Turner.GasRateStd(I32, $D$3, C32, D32+459.67, $B$5)</f>
        <v>1.5045673054780537</v>
      </c>
      <c r="K32" s="1">
        <f t="shared" si="0"/>
        <v>1.3803436083113939E-3</v>
      </c>
    </row>
    <row r="33" spans="1:11" x14ac:dyDescent="0.45">
      <c r="A33">
        <f t="shared" si="1"/>
        <v>10</v>
      </c>
      <c r="B33" s="2">
        <v>900</v>
      </c>
      <c r="C33" s="2">
        <v>1111.52109281143</v>
      </c>
      <c r="D33" s="2">
        <v>97.65</v>
      </c>
      <c r="E33" s="1">
        <v>4.5701324133344059</v>
      </c>
      <c r="F33" s="1">
        <v>0.88318922046802495</v>
      </c>
      <c r="G33" s="1">
        <v>4.6698847511192678</v>
      </c>
      <c r="H33" s="1">
        <v>9.8539945040643645E-3</v>
      </c>
      <c r="I33" s="1" cm="1">
        <f t="array" ref="I33">_xll.Turner.GasVelocityWater($B$5,C33,D33+459.67)</f>
        <v>7.2681369789132688</v>
      </c>
      <c r="J33" s="1" cm="1">
        <f t="array" ref="J33">_xll.Turner.GasRateStd(I33, $D$3, C33, D33+459.67, $B$5)</f>
        <v>1.5297754092244698</v>
      </c>
      <c r="K33" s="1">
        <f t="shared" si="0"/>
        <v>1.3557799657124422E-3</v>
      </c>
    </row>
    <row r="34" spans="1:11" x14ac:dyDescent="0.45">
      <c r="A34">
        <f t="shared" si="1"/>
        <v>11</v>
      </c>
      <c r="B34" s="2">
        <v>1000</v>
      </c>
      <c r="C34" s="2">
        <v>1145.3320391840432</v>
      </c>
      <c r="D34" s="2">
        <v>98.5</v>
      </c>
      <c r="E34" s="1">
        <v>4.7306226043333268</v>
      </c>
      <c r="F34" s="1">
        <v>0.87862953007209144</v>
      </c>
      <c r="G34" s="1">
        <v>4.6698847511192678</v>
      </c>
      <c r="H34" s="1">
        <v>9.5196897851440778E-3</v>
      </c>
      <c r="I34" s="1" cm="1">
        <f t="array" ref="I34">_xll.Turner.GasVelocityWater($B$5,C34,D34+459.67)</f>
        <v>7.1437346475066885</v>
      </c>
      <c r="J34" s="1" cm="1">
        <f t="array" ref="J34">_xll.Turner.GasRateStd(I34, $D$3, C34, D34+459.67, $B$5)</f>
        <v>1.5544208394020029</v>
      </c>
      <c r="K34" s="1">
        <f t="shared" si="0"/>
        <v>1.3325928600198844E-3</v>
      </c>
    </row>
    <row r="35" spans="1:11" x14ac:dyDescent="0.45">
      <c r="A35">
        <f t="shared" si="1"/>
        <v>12</v>
      </c>
      <c r="B35" s="2">
        <v>1100</v>
      </c>
      <c r="C35" s="2">
        <v>1178.9970836793723</v>
      </c>
      <c r="D35" s="2">
        <v>99.35</v>
      </c>
      <c r="E35" s="1">
        <v>4.890542376764115</v>
      </c>
      <c r="F35" s="1">
        <v>0.87414162237448945</v>
      </c>
      <c r="G35" s="1">
        <v>4.6698847511192678</v>
      </c>
      <c r="H35" s="1">
        <v>9.2083978042617354E-3</v>
      </c>
      <c r="I35" s="1" cm="1">
        <f t="array" ref="I35">_xll.Turner.GasVelocityWater($B$5,C35,D35+459.67)</f>
        <v>7.0256947198106108</v>
      </c>
      <c r="J35" s="1" cm="1">
        <f t="array" ref="J35">_xll.Turner.GasRateStd(I35, $D$3, C35, D35+459.67, $B$5)</f>
        <v>1.5785150192893236</v>
      </c>
      <c r="K35" s="1">
        <f t="shared" si="0"/>
        <v>1.3106743420400087E-3</v>
      </c>
    </row>
    <row r="36" spans="1:11" x14ac:dyDescent="0.45">
      <c r="A36">
        <f t="shared" si="1"/>
        <v>13</v>
      </c>
      <c r="B36" s="2">
        <v>1200</v>
      </c>
      <c r="C36" s="2">
        <v>1212.5200832906185</v>
      </c>
      <c r="D36" s="2">
        <v>100.2</v>
      </c>
      <c r="E36" s="1">
        <v>5.0497883304791582</v>
      </c>
      <c r="F36" s="1">
        <v>0.86972629576677618</v>
      </c>
      <c r="G36" s="1">
        <v>4.6698847511192678</v>
      </c>
      <c r="H36" s="1">
        <v>8.9180093771515593E-3</v>
      </c>
      <c r="I36" s="1" cm="1">
        <f t="array" ref="I36">_xll.Turner.GasVelocityWater($B$5,C36,D36+459.67)</f>
        <v>6.9135693692166695</v>
      </c>
      <c r="J36" s="1" cm="1">
        <f t="array" ref="J36">_xll.Turner.GasRateStd(I36, $D$3, C36, D36+459.67, $B$5)</f>
        <v>1.6020683223589693</v>
      </c>
      <c r="K36" s="1">
        <f t="shared" si="0"/>
        <v>1.2899283858870138E-3</v>
      </c>
    </row>
    <row r="37" spans="1:11" x14ac:dyDescent="0.45">
      <c r="A37">
        <f t="shared" si="1"/>
        <v>14</v>
      </c>
      <c r="B37" s="2">
        <v>1300</v>
      </c>
      <c r="C37" s="2">
        <v>1245.904838340974</v>
      </c>
      <c r="D37" s="2">
        <v>101.05</v>
      </c>
      <c r="E37" s="1">
        <v>5.20825739571666</v>
      </c>
      <c r="F37" s="1">
        <v>0.8653841672530459</v>
      </c>
      <c r="G37" s="1">
        <v>4.6698847511192678</v>
      </c>
      <c r="H37" s="1">
        <v>8.6466655278750748E-3</v>
      </c>
      <c r="I37" s="1" cm="1">
        <f t="array" ref="I37">_xll.Turner.GasVelocityWater($B$5,C37,D37+459.67)</f>
        <v>6.8069552767447883</v>
      </c>
      <c r="J37" s="1" cm="1">
        <f t="array" ref="J37">_xll.Turner.GasRateStd(I37, $D$3, C37, D37+459.67, $B$5)</f>
        <v>1.6250902820966204</v>
      </c>
      <c r="K37" s="1">
        <f t="shared" si="0"/>
        <v>1.2702691844348462E-3</v>
      </c>
    </row>
    <row r="38" spans="1:11" x14ac:dyDescent="0.45">
      <c r="A38">
        <f t="shared" si="1"/>
        <v>15</v>
      </c>
      <c r="B38" s="2">
        <v>1400</v>
      </c>
      <c r="C38" s="2">
        <v>1279.155088553784</v>
      </c>
      <c r="D38" s="2">
        <v>101.9</v>
      </c>
      <c r="E38" s="1">
        <v>5.3658475154125016</v>
      </c>
      <c r="F38" s="1">
        <v>0.86111568761826884</v>
      </c>
      <c r="G38" s="1">
        <v>4.6698847511192678</v>
      </c>
      <c r="H38" s="1">
        <v>8.3927207313459519E-3</v>
      </c>
      <c r="I38" s="1" cm="1">
        <f t="array" ref="I38">_xll.Turner.GasVelocityWater($B$5,C38,D38+459.67)</f>
        <v>6.7054877305982323</v>
      </c>
      <c r="J38" s="1" cm="1">
        <f t="array" ref="J38">_xll.Turner.GasRateStd(I38, $D$3, C38, D38+459.67, $B$5)</f>
        <v>1.6475897764557501</v>
      </c>
      <c r="K38" s="1">
        <f t="shared" si="0"/>
        <v>1.2516197282784667E-3</v>
      </c>
    </row>
    <row r="39" spans="1:11" x14ac:dyDescent="0.45">
      <c r="A39">
        <f t="shared" si="1"/>
        <v>16</v>
      </c>
      <c r="B39" s="2">
        <v>1500</v>
      </c>
      <c r="C39" s="2">
        <v>1312.2745094805414</v>
      </c>
      <c r="D39" s="2">
        <v>102.75</v>
      </c>
      <c r="E39" s="1">
        <v>5.5224583236127964</v>
      </c>
      <c r="F39" s="1">
        <v>0.85692115176571659</v>
      </c>
      <c r="G39" s="1">
        <v>4.6698847511192678</v>
      </c>
      <c r="H39" s="1">
        <v>8.1547124568216462E-3</v>
      </c>
      <c r="I39" s="1" cm="1">
        <f t="array" ref="I39">_xll.Turner.GasVelocityWater($B$5,C39,D39+459.67)</f>
        <v>6.6088356448653025</v>
      </c>
      <c r="J39" s="1" cm="1">
        <f t="array" ref="J39">_xll.Turner.GasRateStd(I39, $D$3, C39, D39+459.67, $B$5)</f>
        <v>1.6695751889955601</v>
      </c>
      <c r="K39" s="1">
        <f t="shared" si="0"/>
        <v>1.2339106152772015E-3</v>
      </c>
    </row>
    <row r="40" spans="1:11" x14ac:dyDescent="0.45">
      <c r="A40">
        <f t="shared" si="1"/>
        <v>17</v>
      </c>
      <c r="B40" s="2">
        <v>1600</v>
      </c>
      <c r="C40" s="2">
        <v>1345.2667092018573</v>
      </c>
      <c r="D40" s="2">
        <v>103.6</v>
      </c>
      <c r="E40" s="1">
        <v>5.6779918064992154</v>
      </c>
      <c r="F40" s="1">
        <v>0.85280070569930111</v>
      </c>
      <c r="G40" s="1">
        <v>4.6698847511192678</v>
      </c>
      <c r="H40" s="1">
        <v>7.9313357994451831E-3</v>
      </c>
      <c r="I40" s="1" cm="1">
        <f t="array" ref="I40">_xll.Turner.GasVelocityWater($B$5,C40,D40+459.67)</f>
        <v>6.516697339102703</v>
      </c>
      <c r="J40" s="1" cm="1">
        <f t="array" ref="J40">_xll.Turner.GasRateStd(I40, $D$3, C40, D40+459.67, $B$5)</f>
        <v>1.6910545484036299</v>
      </c>
      <c r="K40" s="1">
        <f t="shared" si="0"/>
        <v>1.2170790489001387E-3</v>
      </c>
    </row>
    <row r="41" spans="1:11" x14ac:dyDescent="0.45">
      <c r="A41">
        <f t="shared" si="1"/>
        <v>18</v>
      </c>
      <c r="B41" s="2">
        <v>1700</v>
      </c>
      <c r="C41" s="2">
        <v>1378.1352252511231</v>
      </c>
      <c r="D41" s="2">
        <v>104.45</v>
      </c>
      <c r="E41" s="1">
        <v>5.8323529332451258</v>
      </c>
      <c r="F41" s="1">
        <v>0.84875435132157107</v>
      </c>
      <c r="G41" s="1">
        <v>4.6698847511192678</v>
      </c>
      <c r="H41" s="1">
        <v>7.721422245753339E-3</v>
      </c>
      <c r="I41" s="1" cm="1">
        <f t="array" ref="I41">_xll.Turner.GasVelocityWater($B$5,C41,D41+459.67)</f>
        <v>6.4287969510528855</v>
      </c>
      <c r="J41" s="1" cm="1">
        <f t="array" ref="J41">_xll.Turner.GasRateStd(I41, $D$3, C41, D41+459.67, $B$5)</f>
        <v>1.7120356478875638</v>
      </c>
      <c r="K41" s="1">
        <f t="shared" si="0"/>
        <v>1.2010679921207888E-3</v>
      </c>
    </row>
    <row r="42" spans="1:11" x14ac:dyDescent="0.45">
      <c r="A42">
        <f t="shared" si="1"/>
        <v>19</v>
      </c>
      <c r="B42" s="2">
        <v>1800</v>
      </c>
      <c r="C42" s="2">
        <v>1410.883521736243</v>
      </c>
      <c r="D42" s="2">
        <v>105.3</v>
      </c>
      <c r="E42" s="1">
        <v>5.9854502450332969</v>
      </c>
      <c r="F42" s="1">
        <v>0.84478194996741474</v>
      </c>
      <c r="G42" s="1">
        <v>4.6698847511192678</v>
      </c>
      <c r="H42" s="1">
        <v>7.5239218171118767E-3</v>
      </c>
      <c r="I42" s="1" cm="1">
        <f t="array" ref="I42">_xll.Turner.GasVelocityWater($B$5,C42,D42+459.67)</f>
        <v>6.3448813785853551</v>
      </c>
      <c r="J42" s="1" cm="1">
        <f t="array" ref="J42">_xll.Turner.GasRateStd(I42, $D$3, C42, D42+459.67, $B$5)</f>
        <v>1.7325261458000121</v>
      </c>
      <c r="K42" s="1">
        <f t="shared" si="0"/>
        <v>1.1858254501819227E-3</v>
      </c>
    </row>
    <row r="43" spans="1:11" x14ac:dyDescent="0.45">
      <c r="A43">
        <f t="shared" si="1"/>
        <v>20</v>
      </c>
      <c r="B43" s="2">
        <v>1900</v>
      </c>
      <c r="C43" s="2">
        <v>1443.5149866532568</v>
      </c>
      <c r="D43" s="2">
        <v>106.15</v>
      </c>
      <c r="E43" s="1">
        <v>6.1371963920389261</v>
      </c>
      <c r="F43" s="1">
        <v>0.84088322538422566</v>
      </c>
      <c r="G43" s="1">
        <v>4.6698847511192678</v>
      </c>
      <c r="H43" s="1">
        <v>7.3378879877888737E-3</v>
      </c>
      <c r="I43" s="1" cm="1">
        <f t="array" ref="I43">_xll.Turner.GasVelocityWater($B$5,C43,D43+459.67)</f>
        <v>6.2647176657187025</v>
      </c>
      <c r="J43" s="1" cm="1">
        <f t="array" ref="J43">_xll.Turner.GasRateStd(I43, $D$3, C43, D43+459.67, $B$5)</f>
        <v>1.7525336488111767</v>
      </c>
      <c r="K43" s="1">
        <f t="shared" si="0"/>
        <v>1.1713038606580293E-3</v>
      </c>
    </row>
    <row r="44" spans="1:11" x14ac:dyDescent="0.45">
      <c r="A44">
        <f t="shared" si="1"/>
        <v>21</v>
      </c>
      <c r="B44" s="2">
        <v>2000</v>
      </c>
      <c r="C44" s="2">
        <v>1476.0329293982388</v>
      </c>
      <c r="D44" s="2">
        <v>107</v>
      </c>
      <c r="E44" s="1">
        <v>6.2875086099453261</v>
      </c>
      <c r="F44" s="1">
        <v>0.83705776669298992</v>
      </c>
      <c r="G44" s="1">
        <v>4.6698847511192678</v>
      </c>
      <c r="H44" s="1">
        <v>7.162464893107361E-3</v>
      </c>
      <c r="I44" s="1" cm="1">
        <f t="array" ref="I44">_xll.Turner.GasVelocityWater($B$5,C44,D44+459.67)</f>
        <v>6.1880907624754622</v>
      </c>
      <c r="J44" s="1" cm="1">
        <f t="array" ref="J44">_xll.Turner.GasRateStd(I44, $D$3, C44, D44+459.67, $B$5)</f>
        <v>1.7720657789385243</v>
      </c>
      <c r="K44" s="1">
        <f t="shared" si="0"/>
        <v>1.1574595732403437E-3</v>
      </c>
    </row>
    <row r="45" spans="1:11" x14ac:dyDescent="0.45">
      <c r="A45">
        <f t="shared" si="1"/>
        <v>22</v>
      </c>
      <c r="B45" s="2">
        <v>2100</v>
      </c>
      <c r="C45" s="2">
        <v>1508.440578491668</v>
      </c>
      <c r="D45" s="2">
        <v>107.85</v>
      </c>
      <c r="E45" s="1">
        <v>6.4363091295277934</v>
      </c>
      <c r="F45" s="1">
        <v>0.83330503171489967</v>
      </c>
      <c r="G45" s="1">
        <v>4.6698847511192678</v>
      </c>
      <c r="H45" s="1">
        <v>6.9968764360992756E-3</v>
      </c>
      <c r="I45" s="1" cm="1">
        <f t="array" ref="I45">_xll.Turner.GasVelocityWater($B$5,C45,D45+459.67)</f>
        <v>6.1148016002456833</v>
      </c>
      <c r="J45" s="1" cm="1">
        <f t="array" ref="J45">_xll.Turner.GasRateStd(I45, $D$3, C45, D45+459.67, $B$5)</f>
        <v>1.791130225764747</v>
      </c>
      <c r="K45" s="1">
        <f t="shared" si="0"/>
        <v>1.144252404823429E-3</v>
      </c>
    </row>
    <row r="46" spans="1:11" x14ac:dyDescent="0.45">
      <c r="A46">
        <f t="shared" si="1"/>
        <v>23</v>
      </c>
      <c r="B46" s="2">
        <v>2200</v>
      </c>
      <c r="C46" s="2">
        <v>1540.7410795334722</v>
      </c>
      <c r="D46" s="2">
        <v>108.7</v>
      </c>
      <c r="E46" s="1">
        <v>6.5835255149176701</v>
      </c>
      <c r="F46" s="1">
        <v>0.82962435092187492</v>
      </c>
      <c r="G46" s="1">
        <v>4.6698847511192678</v>
      </c>
      <c r="H46" s="1">
        <v>6.840416974431187E-3</v>
      </c>
      <c r="I46" s="1" cm="1">
        <f t="array" ref="I46">_xll.Turner.GasVelocityWater($B$5,C46,D46+459.67)</f>
        <v>6.0446654339645525</v>
      </c>
      <c r="J46" s="1" cm="1">
        <f t="array" ref="J46">_xll.Turner.GasRateStd(I46, $D$3, C46, D46+459.67, $B$5)</f>
        <v>1.8097347852057382</v>
      </c>
      <c r="K46" s="1">
        <f t="shared" si="0"/>
        <v>1.1316452579815852E-3</v>
      </c>
    </row>
    <row r="47" spans="1:11" x14ac:dyDescent="0.45">
      <c r="A47">
        <f t="shared" si="1"/>
        <v>24</v>
      </c>
      <c r="B47" s="2">
        <v>2300</v>
      </c>
      <c r="C47" s="2">
        <v>1572.9374934079754</v>
      </c>
      <c r="D47" s="2">
        <v>109.55</v>
      </c>
      <c r="E47" s="1">
        <v>6.7290909282473983</v>
      </c>
      <c r="F47" s="1">
        <v>0.82601493216346644</v>
      </c>
      <c r="G47" s="1">
        <v>4.6698847511192678</v>
      </c>
      <c r="H47" s="1">
        <v>6.6924433276417091E-3</v>
      </c>
      <c r="I47" s="1" cm="1">
        <f t="array" ref="I47">_xll.Turner.GasVelocityWater($B$5,C47,D47+459.67)</f>
        <v>5.9775104102568468</v>
      </c>
      <c r="J47" s="1" cm="1">
        <f t="array" ref="J47">_xll.Turner.GasRateStd(I47, $D$3, C47, D47+459.67, $B$5)</f>
        <v>1.827887386217566</v>
      </c>
      <c r="K47" s="1">
        <f t="shared" si="0"/>
        <v>1.119603792936622E-3</v>
      </c>
    </row>
    <row r="48" spans="1:11" x14ac:dyDescent="0.45">
      <c r="A48">
        <f t="shared" si="1"/>
        <v>25</v>
      </c>
      <c r="B48" s="2">
        <v>2400</v>
      </c>
      <c r="C48" s="2">
        <v>1605.0327947567282</v>
      </c>
      <c r="D48" s="2">
        <v>110.4</v>
      </c>
      <c r="E48" s="1">
        <v>6.8729443203865328</v>
      </c>
      <c r="F48" s="1">
        <v>0.82247586623536839</v>
      </c>
      <c r="G48" s="1">
        <v>4.6698847511192678</v>
      </c>
      <c r="H48" s="1">
        <v>6.5523678913364091E-3</v>
      </c>
      <c r="I48" s="1" cm="1">
        <f t="array" ref="I48">_xll.Turner.GasVelocityWater($B$5,C48,D48+459.67)</f>
        <v>5.9131763271534288</v>
      </c>
      <c r="J48" s="1" cm="1">
        <f t="array" ref="J48">_xll.Turner.GasRateStd(I48, $D$3, C48, D48+459.67, $B$5)</f>
        <v>1.8455961068459517</v>
      </c>
      <c r="K48" s="1">
        <f t="shared" si="0"/>
        <v>1.1080961447484322E-3</v>
      </c>
    </row>
    <row r="49" spans="1:11" x14ac:dyDescent="0.45">
      <c r="A49">
        <f t="shared" si="1"/>
        <v>26</v>
      </c>
      <c r="B49" s="2">
        <v>2500</v>
      </c>
      <c r="C49" s="2">
        <v>1637.0298707343338</v>
      </c>
      <c r="D49" s="2">
        <v>111.25</v>
      </c>
      <c r="E49" s="1">
        <v>7.0150305493295937</v>
      </c>
      <c r="F49" s="1">
        <v>0.819006133285061</v>
      </c>
      <c r="G49" s="1">
        <v>4.6698847511192678</v>
      </c>
      <c r="H49" s="1">
        <v>6.4196526825029193E-3</v>
      </c>
      <c r="I49" s="1" cm="1">
        <f t="array" ref="I49">_xll.Turner.GasVelocityWater($B$5,C49,D49+459.67)</f>
        <v>5.8515135563362453</v>
      </c>
      <c r="J49" s="1" cm="1">
        <f t="array" ref="J49">_xll.Turner.GasRateStd(I49, $D$3, C49, D49+459.67, $B$5)</f>
        <v>1.8628691810175717</v>
      </c>
      <c r="K49" s="1">
        <f t="shared" si="0"/>
        <v>1.0970926787910234E-3</v>
      </c>
    </row>
    <row r="50" spans="1:11" x14ac:dyDescent="0.45">
      <c r="A50">
        <f t="shared" si="1"/>
        <v>27</v>
      </c>
      <c r="B50" s="2">
        <v>2600</v>
      </c>
      <c r="C50" s="2">
        <v>1668.9315200584083</v>
      </c>
      <c r="D50" s="2">
        <v>112.1</v>
      </c>
      <c r="E50" s="1">
        <v>7.1553004294260791</v>
      </c>
      <c r="F50" s="1">
        <v>0.81560460999596673</v>
      </c>
      <c r="G50" s="1">
        <v>4.6698847511192678</v>
      </c>
      <c r="H50" s="1">
        <v>6.2938041704918039E-3</v>
      </c>
      <c r="I50" s="1" cm="1">
        <f t="array" ref="I50">_xll.Turner.GasVelocityWater($B$5,C50,D50+459.67)</f>
        <v>5.7923821033415175</v>
      </c>
      <c r="J50" s="1" cm="1">
        <f t="array" ref="J50">_xll.Turner.GasRateStd(I50, $D$3, C50, D50+459.67, $B$5)</f>
        <v>1.8797149974466403</v>
      </c>
      <c r="K50" s="1">
        <f t="shared" si="0"/>
        <v>1.0865657786735142E-3</v>
      </c>
    </row>
    <row r="51" spans="1:11" x14ac:dyDescent="0.45">
      <c r="A51">
        <f t="shared" si="1"/>
        <v>28</v>
      </c>
      <c r="B51" s="2">
        <v>2700</v>
      </c>
      <c r="C51" s="2">
        <v>1700.7404523602229</v>
      </c>
      <c r="D51" s="2">
        <v>112.95</v>
      </c>
      <c r="E51" s="1">
        <v>7.2937107160059851</v>
      </c>
      <c r="F51" s="1">
        <v>0.81227007745196944</v>
      </c>
      <c r="G51" s="1">
        <v>4.6698847511192678</v>
      </c>
      <c r="H51" s="1">
        <v>6.174368772950755E-3</v>
      </c>
      <c r="I51" s="1" cm="1">
        <f t="array" ref="I51">_xll.Turner.GasVelocityWater($B$5,C51,D51+459.67)</f>
        <v>5.7356507849154514</v>
      </c>
      <c r="J51" s="1" cm="1">
        <f t="array" ref="J51">_xll.Turner.GasRateStd(I51, $D$3, C51, D51+459.67, $B$5)</f>
        <v>1.8961420919821146</v>
      </c>
      <c r="K51" s="1">
        <f t="shared" si="0"/>
        <v>1.076489661676948E-3</v>
      </c>
    </row>
    <row r="52" spans="1:11" x14ac:dyDescent="0.45">
      <c r="A52">
        <f t="shared" si="1"/>
        <v>29</v>
      </c>
      <c r="B52" s="2">
        <v>2800</v>
      </c>
      <c r="C52" s="2">
        <v>1732.4592878377439</v>
      </c>
      <c r="D52" s="2">
        <v>113.8</v>
      </c>
      <c r="E52" s="1">
        <v>7.4302240310258663</v>
      </c>
      <c r="F52" s="1">
        <v>0.80900122955745601</v>
      </c>
      <c r="G52" s="1">
        <v>4.6698847511192678</v>
      </c>
      <c r="H52" s="1">
        <v>6.0609289162477575E-3</v>
      </c>
      <c r="I52" s="1" cm="1">
        <f t="array" ref="I52">_xll.Turner.GasVelocityWater($B$5,C52,D52+459.67)</f>
        <v>5.6811965059027303</v>
      </c>
      <c r="J52" s="1" cm="1">
        <f t="array" ref="J52">_xll.Turner.GasRateStd(I52, $D$3, C52, D52+459.67, $B$5)</f>
        <v>1.9121591346520665</v>
      </c>
      <c r="K52" s="1">
        <f t="shared" si="0"/>
        <v>1.0668402175405282E-3</v>
      </c>
    </row>
    <row r="53" spans="1:11" x14ac:dyDescent="0.45">
      <c r="A53">
        <f t="shared" si="1"/>
        <v>30</v>
      </c>
      <c r="B53" s="2">
        <v>2900</v>
      </c>
      <c r="C53" s="2">
        <v>1764.0905572080067</v>
      </c>
      <c r="D53" s="2">
        <v>114.65</v>
      </c>
      <c r="E53" s="1">
        <v>7.56480873613366</v>
      </c>
      <c r="F53" s="1">
        <v>0.80579668187227538</v>
      </c>
      <c r="G53" s="1">
        <v>4.6698847511192678</v>
      </c>
      <c r="H53" s="1">
        <v>5.9530995765611858E-3</v>
      </c>
      <c r="I53" s="1" cm="1">
        <f t="array" ref="I53">_xll.Turner.GasVelocityWater($B$5,C53,D53+459.67)</f>
        <v>5.6289036207554943</v>
      </c>
      <c r="J53" s="1" cm="1">
        <f t="array" ref="J53">_xll.Turner.GasRateStd(I53, $D$3, C53, D53+459.67, $B$5)</f>
        <v>1.9277749125751091</v>
      </c>
      <c r="K53" s="1">
        <f t="shared" si="0"/>
        <v>1.0575948670732754E-3</v>
      </c>
    </row>
    <row r="54" spans="1:11" x14ac:dyDescent="0.45">
      <c r="A54">
        <f t="shared" si="1"/>
        <v>31</v>
      </c>
      <c r="B54" s="2">
        <v>3000</v>
      </c>
      <c r="C54" s="2">
        <v>1795.6367019513027</v>
      </c>
      <c r="D54" s="2">
        <v>115.5</v>
      </c>
      <c r="E54" s="1">
        <v>7.6974387600334424</v>
      </c>
      <c r="F54" s="1">
        <v>0.80265498071523522</v>
      </c>
      <c r="G54" s="1">
        <v>4.6698847511192678</v>
      </c>
      <c r="H54" s="1">
        <v>5.8505252315444204E-3</v>
      </c>
      <c r="I54" s="1" cm="1">
        <f t="array" ref="I54">_xll.Turner.GasVelocityWater($B$5,C54,D54+459.67)</f>
        <v>5.5786633670569072</v>
      </c>
      <c r="J54" s="1" cm="1">
        <f t="array" ref="J54">_xll.Turner.GasRateStd(I54, $D$3, C54, D54+459.67, $B$5)</f>
        <v>1.9429983098081547</v>
      </c>
      <c r="K54" s="1">
        <f t="shared" si="0"/>
        <v>1.0487324376109357E-3</v>
      </c>
    </row>
    <row r="55" spans="1:11" x14ac:dyDescent="0.45">
      <c r="A55">
        <f t="shared" si="1"/>
        <v>32</v>
      </c>
      <c r="B55" s="2">
        <v>3100</v>
      </c>
      <c r="C55" s="2">
        <v>1827.1000748356562</v>
      </c>
      <c r="D55" s="2">
        <v>116.35</v>
      </c>
      <c r="E55" s="1">
        <v>7.8280933872467209</v>
      </c>
      <c r="F55" s="1">
        <v>0.79957461239108718</v>
      </c>
      <c r="G55" s="1">
        <v>4.6698847511192678</v>
      </c>
      <c r="H55" s="1">
        <v>5.7528771638329845E-3</v>
      </c>
      <c r="I55" s="1" cm="1">
        <f t="array" ref="I55">_xll.Turner.GasVelocityWater($B$5,C55,D55+459.67)</f>
        <v>5.5303733604206542</v>
      </c>
      <c r="J55" s="1" cm="1">
        <f t="array" ref="J55">_xll.Turner.GasRateStd(I55, $D$3, C55, D55+459.67, $B$5)</f>
        <v>1.9578382850894658</v>
      </c>
      <c r="K55" s="1">
        <f t="shared" si="0"/>
        <v>1.0402330527997854E-3</v>
      </c>
    </row>
    <row r="56" spans="1:11" x14ac:dyDescent="0.45">
      <c r="A56">
        <f t="shared" si="1"/>
        <v>33</v>
      </c>
      <c r="B56" s="2">
        <v>3200</v>
      </c>
      <c r="C56" s="2">
        <v>1858.4829407066579</v>
      </c>
      <c r="D56" s="2">
        <v>117.2</v>
      </c>
      <c r="E56" s="1">
        <v>7.9567570153452767</v>
      </c>
      <c r="F56" s="1">
        <v>0.79655401240374424</v>
      </c>
      <c r="G56" s="1">
        <v>4.6698847511192678</v>
      </c>
      <c r="H56" s="1">
        <v>5.6598510670857072E-3</v>
      </c>
      <c r="I56" s="1" cm="1">
        <f t="array" ref="I56">_xll.Turner.GasVelocityWater($B$5,C56,D56+459.67)</f>
        <v>5.4839371418051632</v>
      </c>
      <c r="J56" s="1" cm="1">
        <f t="array" ref="J56">_xll.Turner.GasRateStd(I56, $D$3, C56, D56+459.67, $B$5)</f>
        <v>1.9723038483202626</v>
      </c>
      <c r="K56" s="1">
        <f t="shared" si="0"/>
        <v>1.0320780345820372E-3</v>
      </c>
    </row>
    <row r="57" spans="1:11" x14ac:dyDescent="0.45">
      <c r="A57">
        <f t="shared" si="1"/>
        <v>34</v>
      </c>
      <c r="B57" s="2">
        <v>3300</v>
      </c>
      <c r="C57" s="2">
        <v>1889.7874775249491</v>
      </c>
      <c r="D57" s="2">
        <v>118.05</v>
      </c>
      <c r="E57" s="1">
        <v>8.0834188875096959</v>
      </c>
      <c r="F57" s="1">
        <v>0.79359157453043172</v>
      </c>
      <c r="G57" s="1">
        <v>4.6698847511192678</v>
      </c>
      <c r="H57" s="1">
        <v>5.5711649130826563E-3</v>
      </c>
      <c r="I57" s="1" cm="1">
        <f t="array" ref="I57">_xll.Turner.GasVelocityWater($B$5,C57,D57+459.67)</f>
        <v>5.4392637697096768</v>
      </c>
      <c r="J57" s="1" cm="1">
        <f t="array" ref="J57">_xll.Turner.GasRateStd(I57, $D$3, C57, D57+459.67, $B$5)</f>
        <v>1.9864040365111106</v>
      </c>
      <c r="K57" s="1">
        <f t="shared" si="0"/>
        <v>1.024249815592234E-3</v>
      </c>
    </row>
    <row r="58" spans="1:11" x14ac:dyDescent="0.45">
      <c r="A58">
        <f t="shared" si="1"/>
        <v>35</v>
      </c>
      <c r="B58" s="2">
        <v>3400</v>
      </c>
      <c r="C58" s="2">
        <v>1921.0157776315334</v>
      </c>
      <c r="D58" s="2">
        <v>118.9</v>
      </c>
      <c r="E58" s="1">
        <v>8.2080728068874755</v>
      </c>
      <c r="F58" s="1">
        <v>0.79068565964637438</v>
      </c>
      <c r="G58" s="1">
        <v>4.6698847511192678</v>
      </c>
      <c r="H58" s="1">
        <v>5.486557044919866E-3</v>
      </c>
      <c r="I58" s="1" cm="1">
        <f t="array" ref="I58">_xll.Turner.GasVelocityWater($B$5,C58,D58+459.67)</f>
        <v>5.3962674509326405</v>
      </c>
      <c r="J58" s="1" cm="1">
        <f t="array" ref="J58">_xll.Turner.GasRateStd(I58, $D$3, C58, D58+459.67, $B$5)</f>
        <v>2.0001478898045009</v>
      </c>
      <c r="K58" s="1">
        <f t="shared" si="0"/>
        <v>1.0167318604587733E-3</v>
      </c>
    </row>
    <row r="59" spans="1:11" x14ac:dyDescent="0.45">
      <c r="A59">
        <f t="shared" si="1"/>
        <v>36</v>
      </c>
      <c r="B59" s="2">
        <v>3500</v>
      </c>
      <c r="C59" s="2">
        <v>1952.1698492196285</v>
      </c>
      <c r="D59" s="2">
        <v>119.75</v>
      </c>
      <c r="E59" s="1">
        <v>8.3307168387248876</v>
      </c>
      <c r="F59" s="1">
        <v>0.78783460420647067</v>
      </c>
      <c r="G59" s="1">
        <v>4.6698847511192678</v>
      </c>
      <c r="H59" s="1">
        <v>5.4057844667706459E-3</v>
      </c>
      <c r="I59" s="1" cm="1">
        <f t="array" ref="I59">_xll.Turner.GasVelocityWater($B$5,C59,D59+459.67)</f>
        <v>5.3548672046002403</v>
      </c>
      <c r="J59" s="1" cm="1">
        <f t="array" ref="J59">_xll.Turner.GasRateStd(I59, $D$3, C59, D59+459.67, $B$5)</f>
        <v>2.013544428075436</v>
      </c>
      <c r="K59" s="1">
        <f t="shared" si="0"/>
        <v>1.0095085947466006E-3</v>
      </c>
    </row>
    <row r="60" spans="1:11" x14ac:dyDescent="0.45">
      <c r="A60">
        <f t="shared" si="1"/>
        <v>37</v>
      </c>
      <c r="B60" s="2">
        <v>3600</v>
      </c>
      <c r="C60" s="2">
        <v>1983.2516179908846</v>
      </c>
      <c r="D60" s="2">
        <v>120.6</v>
      </c>
      <c r="E60" s="1">
        <v>8.451353005665835</v>
      </c>
      <c r="F60" s="1">
        <v>0.78503672830741822</v>
      </c>
      <c r="G60" s="1">
        <v>4.6698847511192678</v>
      </c>
      <c r="H60" s="1">
        <v>5.3286213052102507E-3</v>
      </c>
      <c r="I60" s="1" cm="1">
        <f t="array" ref="I60">_xll.Turner.GasVelocityWater($B$5,C60,D60+459.67)</f>
        <v>5.3149865550395488</v>
      </c>
      <c r="J60" s="1" cm="1">
        <f t="array" ref="J60">_xll.Turner.GasRateStd(I60, $D$3, C60, D60+459.67, $B$5)</f>
        <v>2.0266026285096088</v>
      </c>
      <c r="K60" s="1">
        <f t="shared" si="0"/>
        <v>1.0025653404819573E-3</v>
      </c>
    </row>
    <row r="61" spans="1:11" x14ac:dyDescent="0.45">
      <c r="A61">
        <f t="shared" si="1"/>
        <v>38</v>
      </c>
      <c r="B61" s="2">
        <v>3700</v>
      </c>
      <c r="C61" s="2">
        <v>2014.2629289734768</v>
      </c>
      <c r="D61" s="2">
        <v>121.45</v>
      </c>
      <c r="E61" s="1">
        <v>8.5699869809823657</v>
      </c>
      <c r="F61" s="1">
        <v>0.78229034327122426</v>
      </c>
      <c r="G61" s="1">
        <v>4.6698847511192678</v>
      </c>
      <c r="H61" s="1">
        <v>5.254857420878071E-3</v>
      </c>
      <c r="I61" s="1" cm="1">
        <f t="array" ref="I61">_xll.Turner.GasVelocityWater($B$5,C61,D61+459.67)</f>
        <v>5.2765532497987753</v>
      </c>
      <c r="J61" s="1" cm="1">
        <f t="array" ref="J61">_xll.Turner.GasRateStd(I61, $D$3, C61, D61+459.67, $B$5)</f>
        <v>2.03933140446571</v>
      </c>
      <c r="K61" s="1">
        <f t="shared" si="0"/>
        <v>9.9588825737302448E-4</v>
      </c>
    </row>
    <row r="62" spans="1:11" x14ac:dyDescent="0.45">
      <c r="A62">
        <f t="shared" si="1"/>
        <v>39</v>
      </c>
      <c r="B62" s="2">
        <v>3800</v>
      </c>
      <c r="C62" s="2">
        <v>2045.2055484797065</v>
      </c>
      <c r="D62" s="2">
        <v>122.30000000000001</v>
      </c>
      <c r="E62" s="1">
        <v>8.6866277838550907</v>
      </c>
      <c r="F62" s="1">
        <v>0.77959375870687297</v>
      </c>
      <c r="G62" s="1">
        <v>4.6698847511192678</v>
      </c>
      <c r="H62" s="1">
        <v>5.1842971524051788E-3</v>
      </c>
      <c r="I62" s="1" cm="1">
        <f t="array" ref="I62">_xll.Turner.GasVelocityWater($B$5,C62,D62+459.67)</f>
        <v>5.239498999725833</v>
      </c>
      <c r="J62" s="1" cm="1">
        <f t="array" ref="J62">_xll.Turner.GasRateStd(I62, $D$3, C62, D62+459.67, $B$5)</f>
        <v>2.0517395858452598</v>
      </c>
      <c r="K62" s="1">
        <f t="shared" si="0"/>
        <v>9.8946428898573271E-4</v>
      </c>
    </row>
    <row r="63" spans="1:11" x14ac:dyDescent="0.45">
      <c r="A63">
        <f t="shared" si="1"/>
        <v>40</v>
      </c>
      <c r="B63" s="2">
        <v>3900</v>
      </c>
      <c r="C63" s="2">
        <v>2076.0811661812868</v>
      </c>
      <c r="D63" s="2">
        <v>123.15</v>
      </c>
      <c r="E63" s="1">
        <v>8.8012874801815251</v>
      </c>
      <c r="F63" s="1">
        <v>0.77694528902229776</v>
      </c>
      <c r="G63" s="1">
        <v>4.6698847511192678</v>
      </c>
      <c r="H63" s="1">
        <v>5.1167581771701014E-3</v>
      </c>
      <c r="I63" s="1" cm="1">
        <f t="array" ref="I63">_xll.Turner.GasVelocityWater($B$5,C63,D63+459.67)</f>
        <v>5.2037592385232818</v>
      </c>
      <c r="J63" s="1" cm="1">
        <f t="array" ref="J63">_xll.Turner.GasRateStd(I63, $D$3, C63, D63+459.67, $B$5)</f>
        <v>2.0638359011207843</v>
      </c>
      <c r="K63" s="1">
        <f t="shared" si="0"/>
        <v>9.8328111325575668E-4</v>
      </c>
    </row>
    <row r="64" spans="1:11" x14ac:dyDescent="0.45">
      <c r="A64">
        <f t="shared" si="1"/>
        <v>41</v>
      </c>
      <c r="B64" s="2">
        <v>4000</v>
      </c>
      <c r="C64" s="2">
        <v>2106.8913972813402</v>
      </c>
      <c r="D64" s="2">
        <v>124</v>
      </c>
      <c r="E64" s="1">
        <v>8.9139808917753669</v>
      </c>
      <c r="F64" s="1">
        <v>0.77434325937170756</v>
      </c>
      <c r="G64" s="1">
        <v>4.6698847511192678</v>
      </c>
      <c r="H64" s="1">
        <v>5.0520704756496703E-3</v>
      </c>
      <c r="I64" s="1" cm="1">
        <f t="array" ref="I64">_xll.Turner.GasVelocityWater($B$5,C64,D64+459.67)</f>
        <v>5.1692728996177024</v>
      </c>
      <c r="J64" s="1" cm="1">
        <f t="array" ref="J64">_xll.Turner.GasRateStd(I64, $D$3, C64, D64+459.67, $B$5)</f>
        <v>2.0756289611110144</v>
      </c>
      <c r="K64" s="1">
        <f t="shared" si="0"/>
        <v>9.7732709681922587E-4</v>
      </c>
    </row>
    <row r="65" spans="1:11" x14ac:dyDescent="0.45">
      <c r="A65">
        <f t="shared" si="1"/>
        <v>42</v>
      </c>
      <c r="B65" s="2">
        <v>4100</v>
      </c>
      <c r="C65" s="2">
        <v>2137.6377847632452</v>
      </c>
      <c r="D65" s="2">
        <v>124.85</v>
      </c>
      <c r="E65" s="1">
        <v>9.0247253162437335</v>
      </c>
      <c r="F65" s="1">
        <v>0.77178601103539912</v>
      </c>
      <c r="G65" s="1">
        <v>4.6698847511192678</v>
      </c>
      <c r="H65" s="1">
        <v>4.9900753879773144E-3</v>
      </c>
      <c r="I65" s="1" cm="1">
        <f t="array" ref="I65">_xll.Turner.GasVelocityWater($B$5,C65,D65+459.67)</f>
        <v>5.1359822085281648</v>
      </c>
      <c r="J65" s="1" cm="1">
        <f t="array" ref="J65">_xll.Turner.GasRateStd(I65, $D$3, C65, D65+459.67, $B$5)</f>
        <v>2.0871272445397087</v>
      </c>
      <c r="K65" s="1">
        <f t="shared" si="0"/>
        <v>9.7159125272891793E-4</v>
      </c>
    </row>
    <row r="66" spans="1:11" x14ac:dyDescent="0.45">
      <c r="A66">
        <f t="shared" si="1"/>
        <v>43</v>
      </c>
      <c r="B66" s="2">
        <v>4200</v>
      </c>
      <c r="C66" s="2">
        <v>2168.3105275619523</v>
      </c>
      <c r="D66" s="2">
        <v>125.7</v>
      </c>
      <c r="E66" s="1">
        <v>9.1335402593024</v>
      </c>
      <c r="F66" s="1">
        <v>0.76867614150102703</v>
      </c>
      <c r="G66" s="1">
        <v>4.6698847511192678</v>
      </c>
      <c r="H66" s="1">
        <v>4.930624752869186E-3</v>
      </c>
      <c r="I66" s="1" cm="1">
        <f t="array" ref="I66">_xll.Turner.GasVelocityWater($B$5,C66,D66+459.67)</f>
        <v>5.1038472805928148</v>
      </c>
      <c r="J66" s="1" cm="1">
        <f t="array" ref="J66">_xll.Turner.GasRateStd(I66, $D$3, C66, D66+459.67, $B$5)</f>
        <v>2.0983339025422896</v>
      </c>
      <c r="K66" s="1">
        <f t="shared" si="0"/>
        <v>9.6606040145787652E-4</v>
      </c>
    </row>
    <row r="67" spans="1:11" x14ac:dyDescent="0.45">
      <c r="A67">
        <f t="shared" si="1"/>
        <v>44</v>
      </c>
      <c r="B67" s="2">
        <v>4300</v>
      </c>
      <c r="C67" s="2">
        <v>2198.9107368606669</v>
      </c>
      <c r="D67" s="2">
        <v>126.55000000000001</v>
      </c>
      <c r="E67" s="1">
        <v>9.2403975776633747</v>
      </c>
      <c r="F67" s="1">
        <v>0.76558294182023567</v>
      </c>
      <c r="G67" s="1">
        <v>4.6698847511192678</v>
      </c>
      <c r="H67" s="1">
        <v>4.8736062821261679E-3</v>
      </c>
      <c r="I67" s="1" cm="1">
        <f t="array" ref="I67">_xll.Turner.GasVelocityWater($B$5,C67,D67+459.67)</f>
        <v>5.0728155427263468</v>
      </c>
      <c r="J67" s="1" cm="1">
        <f t="array" ref="J67">_xll.Turner.GasRateStd(I67, $D$3, C67, D67+459.67, $B$5)</f>
        <v>2.1092572580632218</v>
      </c>
      <c r="K67" s="1">
        <f t="shared" si="0"/>
        <v>9.6073004056183061E-4</v>
      </c>
    </row>
    <row r="68" spans="1:11" x14ac:dyDescent="0.45">
      <c r="A68">
        <f t="shared" si="1"/>
        <v>45</v>
      </c>
      <c r="B68" s="2">
        <v>4400</v>
      </c>
      <c r="C68" s="2">
        <v>2229.440363168867</v>
      </c>
      <c r="D68" s="2">
        <v>127.4</v>
      </c>
      <c r="E68" s="1">
        <v>9.3453207584197759</v>
      </c>
      <c r="F68" s="1">
        <v>0.76255235843935254</v>
      </c>
      <c r="G68" s="1">
        <v>4.6698847511192678</v>
      </c>
      <c r="H68" s="1">
        <v>4.8188886018994785E-3</v>
      </c>
      <c r="I68" s="1" cm="1">
        <f t="array" ref="I68">_xll.Turner.GasVelocityWater($B$5,C68,D68+459.67)</f>
        <v>5.0428361003324902</v>
      </c>
      <c r="J68" s="1" cm="1">
        <f t="array" ref="J68">_xll.Turner.GasRateStd(I68, $D$3, C68, D68+459.67, $B$5)</f>
        <v>2.11990586767944</v>
      </c>
      <c r="K68" s="1">
        <f t="shared" si="0"/>
        <v>9.5559096231221036E-4</v>
      </c>
    </row>
    <row r="69" spans="1:11" x14ac:dyDescent="0.45">
      <c r="A69">
        <f t="shared" si="1"/>
        <v>46</v>
      </c>
      <c r="B69" s="2">
        <v>4500</v>
      </c>
      <c r="C69" s="2">
        <v>2259.901295050769</v>
      </c>
      <c r="D69" s="2">
        <v>128.25</v>
      </c>
      <c r="E69" s="1">
        <v>9.4483387284696754</v>
      </c>
      <c r="F69" s="1">
        <v>0.75958300435047132</v>
      </c>
      <c r="G69" s="1">
        <v>4.6698847511192678</v>
      </c>
      <c r="H69" s="1">
        <v>4.7663468656291199E-3</v>
      </c>
      <c r="I69" s="1" cm="1">
        <f t="array" ref="I69">_xll.Turner.GasVelocityWater($B$5,C69,D69+459.67)</f>
        <v>5.0138608156796707</v>
      </c>
      <c r="J69" s="1" cm="1">
        <f t="array" ref="J69">_xll.Turner.GasRateStd(I69, $D$3, C69, D69+459.67, $B$5)</f>
        <v>2.1302880843296892</v>
      </c>
      <c r="K69" s="1">
        <f t="shared" si="0"/>
        <v>9.5063406042774279E-4</v>
      </c>
    </row>
    <row r="70" spans="1:11" x14ac:dyDescent="0.45">
      <c r="A70">
        <f t="shared" si="1"/>
        <v>47</v>
      </c>
      <c r="B70" s="2">
        <v>4600</v>
      </c>
      <c r="C70" s="2">
        <v>2290.295360401135</v>
      </c>
      <c r="D70" s="2">
        <v>129.1</v>
      </c>
      <c r="E70" s="1">
        <v>9.549481576362977</v>
      </c>
      <c r="F70" s="1">
        <v>0.75667348747931806</v>
      </c>
      <c r="G70" s="1">
        <v>4.6698847511192678</v>
      </c>
      <c r="H70" s="1">
        <v>4.7158643454857955E-3</v>
      </c>
      <c r="I70" s="1" cm="1">
        <f t="array" ref="I70">_xll.Turner.GasVelocityWater($B$5,C70,D70+459.67)</f>
        <v>4.9858441455164328</v>
      </c>
      <c r="J70" s="1" cm="1">
        <f t="array" ref="J70">_xll.Turner.GasRateStd(I70, $D$3, C70, D70+459.67, $B$5)</f>
        <v>2.1404120518543208</v>
      </c>
      <c r="K70" s="1">
        <f t="shared" si="0"/>
        <v>9.4585073416837164E-4</v>
      </c>
    </row>
    <row r="71" spans="1:11" x14ac:dyDescent="0.45">
      <c r="A71">
        <f t="shared" si="1"/>
        <v>48</v>
      </c>
      <c r="B71" s="2">
        <v>4700</v>
      </c>
      <c r="C71" s="2">
        <v>2320.6243278130746</v>
      </c>
      <c r="D71" s="2">
        <v>129.94999999999999</v>
      </c>
      <c r="E71" s="1">
        <v>9.6487803474794713</v>
      </c>
      <c r="F71" s="1">
        <v>0.75382241599327549</v>
      </c>
      <c r="G71" s="1">
        <v>4.6698847511192678</v>
      </c>
      <c r="H71" s="1">
        <v>4.6673318349098698E-3</v>
      </c>
      <c r="I71" s="1" cm="1">
        <f t="array" ref="I71">_xll.Turner.GasVelocityWater($B$5,C71,D71+459.67)</f>
        <v>4.9587429886875869</v>
      </c>
      <c r="J71" s="1" cm="1">
        <f t="array" ref="J71">_xll.Turner.GasRateStd(I71, $D$3, C71, D71+459.67, $B$5)</f>
        <v>2.1502857010528373</v>
      </c>
      <c r="K71" s="1">
        <f t="shared" si="0"/>
        <v>9.412328579152992E-4</v>
      </c>
    </row>
    <row r="72" spans="1:11" x14ac:dyDescent="0.45">
      <c r="A72">
        <f t="shared" si="1"/>
        <v>49</v>
      </c>
      <c r="B72" s="2">
        <v>4800</v>
      </c>
      <c r="C72" s="2">
        <v>2350.8899080183542</v>
      </c>
      <c r="D72" s="2">
        <v>130.80000000000001</v>
      </c>
      <c r="E72" s="1">
        <v>9.7462668567512818</v>
      </c>
      <c r="F72" s="1">
        <v>0.75102840296952522</v>
      </c>
      <c r="G72" s="1">
        <v>4.6698847511192678</v>
      </c>
      <c r="H72" s="1">
        <v>4.6206470996275218E-3</v>
      </c>
      <c r="I72" s="1" cm="1">
        <f t="array" ref="I72">_xll.Turner.GasVelocityWater($B$5,C72,D72+459.67)</f>
        <v>4.9325165430690241</v>
      </c>
      <c r="J72" s="1" cm="1">
        <f t="array" ref="J72">_xll.Turner.GasRateStd(I72, $D$3, C72, D72+459.67, $B$5)</f>
        <v>2.1599167471153877</v>
      </c>
      <c r="K72" s="1">
        <f t="shared" si="0"/>
        <v>9.3677275266725079E-4</v>
      </c>
    </row>
    <row r="73" spans="1:11" x14ac:dyDescent="0.45">
      <c r="A73">
        <f t="shared" si="1"/>
        <v>50</v>
      </c>
      <c r="B73" s="2">
        <v>4900</v>
      </c>
      <c r="C73" s="2">
        <v>2381.0937553829071</v>
      </c>
      <c r="D73" s="2">
        <v>131.65</v>
      </c>
      <c r="E73" s="1">
        <v>9.8419735182264194</v>
      </c>
      <c r="F73" s="1">
        <v>0.74829007047431617</v>
      </c>
      <c r="G73" s="1">
        <v>4.6698847511192678</v>
      </c>
      <c r="H73" s="1">
        <v>4.5757143727774485E-3</v>
      </c>
      <c r="I73" s="1" cm="1">
        <f t="array" ref="I73">_xll.Turner.GasVelocityWater($B$5,C73,D73+459.67)</f>
        <v>4.9071261712073069</v>
      </c>
      <c r="J73" s="1" cm="1">
        <f t="array" ref="J73">_xll.Turner.GasRateStd(I73, $D$3, C73, D73+459.67, $B$5)</f>
        <v>2.1693126882867735</v>
      </c>
      <c r="K73" s="1">
        <f t="shared" si="0"/>
        <v>9.3246315931829393E-4</v>
      </c>
    </row>
    <row r="74" spans="1:11" x14ac:dyDescent="0.45">
      <c r="A74">
        <f t="shared" si="1"/>
        <v>51</v>
      </c>
      <c r="B74" s="2">
        <v>5000</v>
      </c>
      <c r="C74" s="2">
        <v>2411.2374694422856</v>
      </c>
      <c r="D74" s="2">
        <v>132.5</v>
      </c>
      <c r="E74" s="1">
        <v>9.9359331906624853</v>
      </c>
      <c r="F74" s="1">
        <v>0.74560605310300343</v>
      </c>
      <c r="G74" s="1">
        <v>4.6698847511192678</v>
      </c>
      <c r="H74" s="1">
        <v>4.5324438902392588E-3</v>
      </c>
      <c r="I74" s="1" cm="1">
        <f t="array" ref="I74">_xll.Turner.GasVelocityWater($B$5,C74,D74+459.67)</f>
        <v>4.8825352741065293</v>
      </c>
      <c r="J74" s="1" cm="1">
        <f t="array" ref="J74">_xll.Turner.GasRateStd(I74, $D$3, C74, D74+459.67, $B$5)</f>
        <v>2.1784808056263163</v>
      </c>
      <c r="K74" s="1">
        <f t="shared" si="0"/>
        <v>9.2829721359640664E-4</v>
      </c>
    </row>
    <row r="75" spans="1:11" x14ac:dyDescent="0.45">
      <c r="A75">
        <f t="shared" si="1"/>
        <v>52</v>
      </c>
      <c r="B75" s="2">
        <v>5100</v>
      </c>
      <c r="C75" s="2">
        <v>2441.3225964636636</v>
      </c>
      <c r="D75" s="2">
        <v>133.35</v>
      </c>
      <c r="E75" s="1">
        <v>10.028179038266741</v>
      </c>
      <c r="F75" s="1">
        <v>0.7429750010286954</v>
      </c>
      <c r="G75" s="1">
        <v>4.6698847511192678</v>
      </c>
      <c r="H75" s="1">
        <v>4.4907514626531132E-3</v>
      </c>
      <c r="I75" s="1" cm="1">
        <f t="array" ref="I75">_xll.Turner.GasVelocityWater($B$5,C75,D75+459.67)</f>
        <v>4.858709172652107</v>
      </c>
      <c r="J75" s="1" cm="1">
        <f t="array" ref="J75">_xll.Turner.GasRateStd(I75, $D$3, C75, D75+459.67, $B$5)</f>
        <v>2.1874281637334057</v>
      </c>
      <c r="K75" s="1">
        <f t="shared" si="0"/>
        <v>9.2426842255344428E-4</v>
      </c>
    </row>
    <row r="76" spans="1:11" x14ac:dyDescent="0.45">
      <c r="A76">
        <f t="shared" si="1"/>
        <v>53</v>
      </c>
      <c r="B76" s="2">
        <v>5200</v>
      </c>
      <c r="C76" s="2">
        <v>2471.3506310227403</v>
      </c>
      <c r="D76" s="2">
        <v>134.19999999999999</v>
      </c>
      <c r="E76" s="1">
        <v>10.118744405654853</v>
      </c>
      <c r="F76" s="1">
        <v>0.74039558260515237</v>
      </c>
      <c r="G76" s="1">
        <v>4.6698847511192678</v>
      </c>
      <c r="H76" s="1">
        <v>4.4505580809686618E-3</v>
      </c>
      <c r="I76" s="1" cm="1">
        <f t="array" ref="I76">_xll.Turner.GasVelocityWater($B$5,C76,D76+459.67)</f>
        <v>4.8356149962009933</v>
      </c>
      <c r="J76" s="1" cm="1">
        <f t="array" ref="J76">_xll.Turner.GasRateStd(I76, $D$3, C76, D76+459.67, $B$5)</f>
        <v>2.1961616123162622</v>
      </c>
      <c r="K76" s="1">
        <f t="shared" si="0"/>
        <v>9.203706425067248E-4</v>
      </c>
    </row>
    <row r="77" spans="1:11" x14ac:dyDescent="0.45">
      <c r="A77">
        <f t="shared" si="1"/>
        <v>54</v>
      </c>
      <c r="B77" s="2">
        <v>5300</v>
      </c>
      <c r="C77" s="2">
        <v>2501.3230175854405</v>
      </c>
      <c r="D77" s="2">
        <v>135.05000000000001</v>
      </c>
      <c r="E77" s="1">
        <v>10.207662706080848</v>
      </c>
      <c r="F77" s="1">
        <v>0.73786648656692633</v>
      </c>
      <c r="G77" s="1">
        <v>4.6698847511192678</v>
      </c>
      <c r="H77" s="1">
        <v>4.4117895526677442E-3</v>
      </c>
      <c r="I77" s="1" cm="1">
        <f t="array" ref="I77">_xll.Turner.GasVelocityWater($B$5,C77,D77+459.67)</f>
        <v>4.8132215779020822</v>
      </c>
      <c r="J77" s="1" cm="1">
        <f t="array" ref="J77">_xll.Turner.GasRateStd(I77, $D$3, C77, D77+459.67, $B$5)</f>
        <v>2.204687788489875</v>
      </c>
      <c r="K77" s="1">
        <f t="shared" si="0"/>
        <v>9.1659805834052037E-4</v>
      </c>
    </row>
    <row r="78" spans="1:11" x14ac:dyDescent="0.45">
      <c r="A78">
        <f t="shared" si="1"/>
        <v>55</v>
      </c>
      <c r="B78" s="2">
        <v>5400</v>
      </c>
      <c r="C78" s="2">
        <v>2531.2411520857459</v>
      </c>
      <c r="D78" s="2">
        <v>135.9</v>
      </c>
      <c r="E78" s="1">
        <v>10.294967321989731</v>
      </c>
      <c r="F78" s="1">
        <v>0.73538642386731301</v>
      </c>
      <c r="G78" s="1">
        <v>4.6698847511192678</v>
      </c>
      <c r="H78" s="1">
        <v>4.3743761660760497E-3</v>
      </c>
      <c r="I78" s="1" cm="1">
        <f t="array" ref="I78">_xll.Turner.GasVelocityWater($B$5,C78,D78+459.67)</f>
        <v>4.7914993563402604</v>
      </c>
      <c r="J78" s="1" cm="1">
        <f t="array" ref="J78">_xll.Turner.GasRateStd(I78, $D$3, C78, D78+459.67, $B$5)</f>
        <v>2.2130131196979184</v>
      </c>
      <c r="K78" s="1">
        <f t="shared" si="0"/>
        <v>9.1294516408266648E-4</v>
      </c>
    </row>
    <row r="79" spans="1:11" x14ac:dyDescent="0.45">
      <c r="A79">
        <f t="shared" si="1"/>
        <v>56</v>
      </c>
      <c r="B79" s="2">
        <v>5500</v>
      </c>
      <c r="C79" s="2">
        <v>2561.1063834922579</v>
      </c>
      <c r="D79" s="2">
        <v>136.75</v>
      </c>
      <c r="E79" s="1">
        <v>10.380691516958985</v>
      </c>
      <c r="F79" s="1">
        <v>0.73295412919164649</v>
      </c>
      <c r="G79" s="1">
        <v>4.6698847511192678</v>
      </c>
      <c r="H79" s="1">
        <v>4.338252380419098E-3</v>
      </c>
      <c r="I79" s="1" cm="1">
        <f t="array" ref="I79">_xll.Turner.GasVelocityWater($B$5,C79,D79+459.67)</f>
        <v>4.7704202831239275</v>
      </c>
      <c r="J79" s="1" cm="1">
        <f t="array" ref="J79">_xll.Turner.GasRateStd(I79, $D$3, C79, D79+459.67, $B$5)</f>
        <v>2.2211438271624067</v>
      </c>
      <c r="K79" s="1">
        <f t="shared" si="0"/>
        <v>9.0940674467746843E-4</v>
      </c>
    </row>
    <row r="80" spans="1:11" x14ac:dyDescent="0.45">
      <c r="A80">
        <f t="shared" si="1"/>
        <v>57</v>
      </c>
      <c r="B80" s="2">
        <v>5600</v>
      </c>
      <c r="C80" s="2">
        <v>2590.9200153572401</v>
      </c>
      <c r="D80" s="2">
        <v>137.6</v>
      </c>
      <c r="E80" s="1">
        <v>10.464868358120992</v>
      </c>
      <c r="F80" s="1">
        <v>0.73056836218083787</v>
      </c>
      <c r="G80" s="1">
        <v>4.6698847511192678</v>
      </c>
      <c r="H80" s="1">
        <v>4.3033565394920738E-3</v>
      </c>
      <c r="I80" s="1" cm="1">
        <f t="array" ref="I80">_xll.Turner.GasVelocityWater($B$5,C80,D80+459.67)</f>
        <v>4.7499577360592324</v>
      </c>
      <c r="J80" s="1" cm="1">
        <f t="array" ref="J80">_xll.Turner.GasRateStd(I80, $D$3, C80, D80+459.67, $B$5)</f>
        <v>2.2290859297736807</v>
      </c>
      <c r="K80" s="1">
        <f t="shared" si="0"/>
        <v>9.0597785888139751E-4</v>
      </c>
    </row>
    <row r="81" spans="1:11" x14ac:dyDescent="0.45">
      <c r="A81">
        <f t="shared" si="1"/>
        <v>58</v>
      </c>
      <c r="B81" s="2">
        <v>5700</v>
      </c>
      <c r="C81" s="2">
        <v>2620.683307342907</v>
      </c>
      <c r="D81" s="2">
        <v>138.44999999999999</v>
      </c>
      <c r="E81" s="1">
        <v>10.547530648193302</v>
      </c>
      <c r="F81" s="1">
        <v>0.72822790839733575</v>
      </c>
      <c r="G81" s="1">
        <v>4.6698847511192678</v>
      </c>
      <c r="H81" s="1">
        <v>4.2696306070044545E-3</v>
      </c>
      <c r="I81" s="1" cm="1">
        <f t="array" ref="I81">_xll.Turner.GasVelocityWater($B$5,C81,D81+459.67)</f>
        <v>4.7300864375757659</v>
      </c>
      <c r="J81" s="1" cm="1">
        <f t="array" ref="J81">_xll.Turner.GasRateStd(I81, $D$3, C81, D81+459.67, $B$5)</f>
        <v>2.2368452483419037</v>
      </c>
      <c r="K81" s="1">
        <f t="shared" si="0"/>
        <v>9.0265382321273149E-4</v>
      </c>
    </row>
    <row r="82" spans="1:11" x14ac:dyDescent="0.45">
      <c r="A82">
        <f t="shared" si="1"/>
        <v>59</v>
      </c>
      <c r="B82" s="2">
        <v>5800</v>
      </c>
      <c r="C82" s="2">
        <v>2650.3974767206323</v>
      </c>
      <c r="D82" s="2">
        <v>139.30000000000001</v>
      </c>
      <c r="E82" s="1">
        <v>10.628710866284608</v>
      </c>
      <c r="F82" s="1">
        <v>0.72593158006289049</v>
      </c>
      <c r="G82" s="1">
        <v>4.6698847511192678</v>
      </c>
      <c r="H82" s="1">
        <v>4.2370199218323299E-3</v>
      </c>
      <c r="I82" s="1" cm="1">
        <f t="array" ref="I82">_xll.Turner.GasVelocityWater($B$5,C82,D82+459.67)</f>
        <v>4.7107823780879263</v>
      </c>
      <c r="J82" s="1" cm="1">
        <f t="array" ref="J82">_xll.Turner.GasRateStd(I82, $D$3, C82, D82+459.67, $B$5)</f>
        <v>2.2444274101394437</v>
      </c>
      <c r="K82" s="1">
        <f t="shared" si="0"/>
        <v>8.9943019689058673E-4</v>
      </c>
    </row>
    <row r="83" spans="1:11" x14ac:dyDescent="0.45">
      <c r="A83">
        <f t="shared" si="1"/>
        <v>60</v>
      </c>
      <c r="B83" s="2">
        <v>5900</v>
      </c>
      <c r="C83" s="2">
        <v>2680.0636998395466</v>
      </c>
      <c r="D83" s="2">
        <v>140.15</v>
      </c>
      <c r="E83" s="1">
        <v>10.708441116689421</v>
      </c>
      <c r="F83" s="1">
        <v>0.72367821659504283</v>
      </c>
      <c r="G83" s="1">
        <v>4.6698847511192678</v>
      </c>
      <c r="H83" s="1">
        <v>4.205472971566023E-3</v>
      </c>
      <c r="I83" s="1" cm="1">
        <f t="array" ref="I83">_xll.Turner.GasVelocityWater($B$5,C83,D83+459.67)</f>
        <v>4.6920227439944524</v>
      </c>
      <c r="J83" s="1" cm="1">
        <f t="array" ref="J83">_xll.Turner.GasRateStd(I83, $D$3, C83, D83+459.67, $B$5)</f>
        <v>2.2518378536712609</v>
      </c>
      <c r="K83" s="1">
        <f t="shared" si="0"/>
        <v>8.9630276770265272E-4</v>
      </c>
    </row>
    <row r="84" spans="1:11" x14ac:dyDescent="0.45">
      <c r="A84">
        <f t="shared" si="1"/>
        <v>61</v>
      </c>
      <c r="B84" s="2">
        <v>6000</v>
      </c>
      <c r="C84" s="2">
        <v>2709.6831135616962</v>
      </c>
      <c r="D84" s="2">
        <v>141</v>
      </c>
      <c r="E84" s="1">
        <v>10.786753084931869</v>
      </c>
      <c r="F84" s="1">
        <v>0.72146668496672783</v>
      </c>
      <c r="G84" s="1">
        <v>4.6698847511192678</v>
      </c>
      <c r="H84" s="1">
        <v>4.1749411828803443E-3</v>
      </c>
      <c r="I84" s="1" cm="1">
        <f t="array" ref="I84">_xll.Turner.GasVelocityWater($B$5,C84,D84+459.67)</f>
        <v>4.6737858500355118</v>
      </c>
      <c r="J84" s="1" cm="1">
        <f t="array" ref="J84">_xll.Turner.GasRateStd(I84, $D$3, C84, D84+459.67, $B$5)</f>
        <v>2.2590818336176026</v>
      </c>
      <c r="K84" s="1">
        <f t="shared" si="0"/>
        <v>8.9326753874455385E-4</v>
      </c>
    </row>
    <row r="85" spans="1:11" x14ac:dyDescent="0.45">
      <c r="A85">
        <f t="shared" si="1"/>
        <v>62</v>
      </c>
      <c r="B85" s="2">
        <v>6100</v>
      </c>
      <c r="C85" s="2">
        <v>2739.2568166615515</v>
      </c>
      <c r="D85" s="2">
        <v>141.85</v>
      </c>
      <c r="E85" s="1">
        <v>10.863678000367717</v>
      </c>
      <c r="F85" s="1">
        <v>0.71929587991110977</v>
      </c>
      <c r="G85" s="1">
        <v>4.6698847511192678</v>
      </c>
      <c r="H85" s="1">
        <v>4.1453787273812177E-3</v>
      </c>
      <c r="I85" s="1" cm="1">
        <f t="array" ref="I85">_xll.Turner.GasVelocityWater($B$5,C85,D85+459.67)</f>
        <v>4.6560510757427727</v>
      </c>
      <c r="J85" s="1" cm="1">
        <f t="array" ref="J85">_xll.Turner.GasRateStd(I85, $D$3, C85, D85+459.67, $B$5)</f>
        <v>2.2661644259000573</v>
      </c>
      <c r="K85" s="1">
        <f t="shared" si="0"/>
        <v>8.9032071597709261E-4</v>
      </c>
    </row>
    <row r="86" spans="1:11" x14ac:dyDescent="0.45">
      <c r="A86">
        <f t="shared" si="1"/>
        <v>63</v>
      </c>
      <c r="B86" s="2">
        <v>6200</v>
      </c>
      <c r="C86" s="2">
        <v>2768.7858711881877</v>
      </c>
      <c r="D86" s="2">
        <v>142.69999999999999</v>
      </c>
      <c r="E86" s="1">
        <v>10.939246604702426</v>
      </c>
      <c r="F86" s="1">
        <v>0.71716472399173026</v>
      </c>
      <c r="G86" s="1">
        <v>4.6698847511192678</v>
      </c>
      <c r="H86" s="1">
        <v>4.1167423416970019E-3</v>
      </c>
      <c r="I86" s="1" cm="1">
        <f t="array" ref="I86">_xll.Turner.GasVelocityWater($B$5,C86,D86+459.67)</f>
        <v>4.6387988056171512</v>
      </c>
      <c r="J86" s="1" cm="1">
        <f t="array" ref="J86">_xll.Turner.GasRateStd(I86, $D$3, C86, D86+459.67, $B$5)</f>
        <v>2.2730905328746589</v>
      </c>
      <c r="K86" s="1">
        <f t="shared" si="0"/>
        <v>8.8745869657291712E-4</v>
      </c>
    </row>
    <row r="87" spans="1:11" x14ac:dyDescent="0.45">
      <c r="A87">
        <f t="shared" si="1"/>
        <v>64</v>
      </c>
      <c r="B87" s="2">
        <v>6300</v>
      </c>
      <c r="C87" s="2">
        <v>2798.2713037886897</v>
      </c>
      <c r="D87" s="2">
        <v>143.55000000000001</v>
      </c>
      <c r="E87" s="1">
        <v>11.013489126331185</v>
      </c>
      <c r="F87" s="1">
        <v>0.71507216754378122</v>
      </c>
      <c r="G87" s="1">
        <v>4.6698847511192678</v>
      </c>
      <c r="H87" s="1">
        <v>4.0889911605011403E-3</v>
      </c>
      <c r="I87" s="1" cm="1">
        <f t="array" ref="I87">_xll.Turner.GasVelocityWater($B$5,C87,D87+459.67)</f>
        <v>4.6220103735436906</v>
      </c>
      <c r="J87" s="1" cm="1">
        <f t="array" ref="J87">_xll.Turner.GasRateStd(I87, $D$3, C87, D87+459.67, $B$5)</f>
        <v>2.2798648883152191</v>
      </c>
      <c r="K87" s="1">
        <f t="shared" si="0"/>
        <v>8.8467805782229672E-4</v>
      </c>
    </row>
    <row r="88" spans="1:11" x14ac:dyDescent="0.45">
      <c r="A88">
        <f t="shared" si="1"/>
        <v>65</v>
      </c>
      <c r="B88" s="2">
        <v>6400</v>
      </c>
      <c r="C88" s="2">
        <v>2827.7141069932295</v>
      </c>
      <c r="D88" s="2">
        <v>144.4</v>
      </c>
      <c r="E88" s="1">
        <v>11.086435256735383</v>
      </c>
      <c r="F88" s="1">
        <v>0.71301718857974583</v>
      </c>
      <c r="G88" s="1">
        <v>4.6698847511192678</v>
      </c>
      <c r="H88" s="1">
        <v>4.0620865626292231E-3</v>
      </c>
      <c r="I88" s="1" cm="1">
        <f t="array" ref="I88">_xll.Turner.GasVelocityWater($B$5,C88,D88+459.67)</f>
        <v>4.6056680092137361</v>
      </c>
      <c r="J88" s="1" cm="1">
        <f t="array" ref="J88">_xll.Turner.GasRateStd(I88, $D$3, C88, D88+459.67, $B$5)</f>
        <v>2.2864920629621515</v>
      </c>
      <c r="K88" s="1">
        <f t="shared" si="0"/>
        <v>8.8197554719596227E-4</v>
      </c>
    </row>
    <row r="89" spans="1:11" x14ac:dyDescent="0.45">
      <c r="A89">
        <f t="shared" si="1"/>
        <v>66</v>
      </c>
      <c r="B89" s="2">
        <v>6500</v>
      </c>
      <c r="C89" s="2">
        <v>2857.1152404585896</v>
      </c>
      <c r="D89" s="2">
        <v>145.25</v>
      </c>
      <c r="E89" s="1">
        <v>11.158114137099858</v>
      </c>
      <c r="F89" s="1">
        <v>0.7109987924663842</v>
      </c>
      <c r="G89" s="1">
        <v>4.6698847511192678</v>
      </c>
      <c r="H89" s="1">
        <v>4.0359920261174714E-3</v>
      </c>
      <c r="I89" s="1" cm="1">
        <f t="array" ref="I89">_xll.Turner.GasVelocityWater($B$5,C89,D89+459.67)</f>
        <v>4.5897547892527371</v>
      </c>
      <c r="J89" s="1" cm="1">
        <f t="array" ref="J89">_xll.Turner.GasRateStd(I89, $D$3, C89, D89+459.67, $B$5)</f>
        <v>2.2929764694409642</v>
      </c>
      <c r="K89" s="1">
        <f t="shared" ref="K89:K124" si="2">H89/I89</f>
        <v>8.7934807226914527E-4</v>
      </c>
    </row>
    <row r="90" spans="1:11" x14ac:dyDescent="0.45">
      <c r="A90">
        <f t="shared" ref="A90:A123" si="3">A89+1</f>
        <v>67</v>
      </c>
      <c r="B90" s="2">
        <v>6600</v>
      </c>
      <c r="C90" s="2">
        <v>2886.4756321730069</v>
      </c>
      <c r="D90" s="2">
        <v>146.1</v>
      </c>
      <c r="E90" s="1">
        <v>11.228554342156972</v>
      </c>
      <c r="F90" s="1">
        <v>0.7090160116858546</v>
      </c>
      <c r="G90" s="1">
        <v>4.6698847511192678</v>
      </c>
      <c r="H90" s="1">
        <v>4.0106729959675956E-3</v>
      </c>
      <c r="I90" s="1" cm="1">
        <f t="array" ref="I90">_xll.Turner.GasVelocityWater($B$5,C90,D90+459.67)</f>
        <v>4.5742545904702734</v>
      </c>
      <c r="J90" s="1" cm="1">
        <f t="array" ref="J90">_xll.Turner.GasRateStd(I90, $D$3, C90, D90+459.67, $B$5)</f>
        <v>2.2993223674852459</v>
      </c>
      <c r="K90" s="1">
        <f t="shared" si="2"/>
        <v>8.7679269193349893E-4</v>
      </c>
    </row>
    <row r="91" spans="1:11" x14ac:dyDescent="0.45">
      <c r="A91">
        <f t="shared" si="3"/>
        <v>68</v>
      </c>
      <c r="B91" s="2">
        <v>6700</v>
      </c>
      <c r="C91" s="2">
        <v>2915.7961796206996</v>
      </c>
      <c r="D91" s="2">
        <v>146.94999999999999</v>
      </c>
      <c r="E91" s="1">
        <v>11.297783871110122</v>
      </c>
      <c r="F91" s="1">
        <v>0.7070679054464738</v>
      </c>
      <c r="G91" s="1">
        <v>4.6698847511192678</v>
      </c>
      <c r="H91" s="1">
        <v>3.986096760002774E-3</v>
      </c>
      <c r="I91" s="1" cm="1">
        <f t="array" ref="I91">_xll.Turner.GasVelocityWater($B$5,C91,D91+459.67)</f>
        <v>4.5591520461031232</v>
      </c>
      <c r="J91" s="1" cm="1">
        <f t="array" ref="J91">_xll.Turner.GasRateStd(I91, $D$3, C91, D91+459.67, $B$5)</f>
        <v>2.3055338690208438</v>
      </c>
      <c r="K91" s="1">
        <f t="shared" si="2"/>
        <v>8.7430660782849721E-4</v>
      </c>
    </row>
    <row r="92" spans="1:11" x14ac:dyDescent="0.45">
      <c r="A92">
        <f t="shared" si="3"/>
        <v>69</v>
      </c>
      <c r="B92" s="2">
        <v>6800</v>
      </c>
      <c r="C92" s="2">
        <v>2945.0777509067448</v>
      </c>
      <c r="D92" s="2">
        <v>147.80000000000001</v>
      </c>
      <c r="E92" s="1">
        <v>11.365830140718257</v>
      </c>
      <c r="F92" s="1">
        <v>0.70515355926185663</v>
      </c>
      <c r="G92" s="1">
        <v>4.6698847511192678</v>
      </c>
      <c r="H92" s="1">
        <v>3.9622323337833859E-3</v>
      </c>
      <c r="I92" s="1" cm="1">
        <f t="array" ref="I92">_xll.Turner.GasVelocityWater($B$5,C92,D92+459.67)</f>
        <v>4.544432504680076</v>
      </c>
      <c r="J92" s="1" cm="1">
        <f t="array" ref="J92">_xll.Turner.GasRateStd(I92, $D$3, C92, D92+459.67, $B$5)</f>
        <v>2.311614943173673</v>
      </c>
      <c r="K92" s="1">
        <f t="shared" si="2"/>
        <v>8.7188715636174322E-4</v>
      </c>
    </row>
    <row r="93" spans="1:11" x14ac:dyDescent="0.45">
      <c r="A93">
        <f t="shared" si="3"/>
        <v>70</v>
      </c>
      <c r="B93" s="2">
        <v>6900</v>
      </c>
      <c r="C93" s="2">
        <v>2974.321185842774</v>
      </c>
      <c r="D93" s="2">
        <v>148.65</v>
      </c>
      <c r="E93" s="1">
        <v>11.43271998103824</v>
      </c>
      <c r="F93" s="1">
        <v>0.70327208448723444</v>
      </c>
      <c r="G93" s="1">
        <v>4.6698847511192678</v>
      </c>
      <c r="H93" s="1">
        <v>3.939050353593457E-3</v>
      </c>
      <c r="I93" s="1" cm="1">
        <f t="array" ref="I93">_xll.Turner.GasVelocityWater($B$5,C93,D93+459.67)</f>
        <v>4.5300819913450789</v>
      </c>
      <c r="J93" s="1" cm="1">
        <f t="array" ref="J93">_xll.Turner.GasRateStd(I93, $D$3, C93, D93+459.67, $B$5)</f>
        <v>2.3175694211874491</v>
      </c>
      <c r="K93" s="1">
        <f t="shared" si="2"/>
        <v>8.6953180121666365E-4</v>
      </c>
    </row>
    <row r="94" spans="1:11" x14ac:dyDescent="0.45">
      <c r="A94">
        <f t="shared" si="3"/>
        <v>71</v>
      </c>
      <c r="B94" s="2">
        <v>7000</v>
      </c>
      <c r="C94" s="2">
        <v>3003.5272969940775</v>
      </c>
      <c r="D94" s="2">
        <v>149.5</v>
      </c>
      <c r="E94" s="1">
        <v>11.498479633509364</v>
      </c>
      <c r="F94" s="1">
        <v>0.70142261782081483</v>
      </c>
      <c r="G94" s="1">
        <v>4.6698847511192678</v>
      </c>
      <c r="H94" s="1">
        <v>3.9165229768815223E-3</v>
      </c>
      <c r="I94" s="1" cm="1">
        <f t="array" ref="I94">_xll.Turner.GasVelocityWater($B$5,C94,D94+459.67)</f>
        <v>4.5160871714851343</v>
      </c>
      <c r="J94" s="1" cm="1">
        <f t="array" ref="J94">_xll.Turner.GasRateStd(I94, $D$3, C94, D94+459.67, $B$5)</f>
        <v>2.3234010012401747</v>
      </c>
      <c r="K94" s="1">
        <f t="shared" si="2"/>
        <v>8.6723812631667098E-4</v>
      </c>
    </row>
    <row r="95" spans="1:11" x14ac:dyDescent="0.45">
      <c r="A95">
        <f t="shared" si="3"/>
        <v>72</v>
      </c>
      <c r="B95" s="2">
        <v>7100</v>
      </c>
      <c r="C95" s="2">
        <v>3032.6968706888424</v>
      </c>
      <c r="D95" s="2">
        <v>150.35</v>
      </c>
      <c r="E95" s="1">
        <v>11.563134751094578</v>
      </c>
      <c r="F95" s="1">
        <v>0.69960432077719392</v>
      </c>
      <c r="G95" s="1">
        <v>4.6698847511192678</v>
      </c>
      <c r="H95" s="1">
        <v>3.8946237895896426E-3</v>
      </c>
      <c r="I95" s="1" cm="1">
        <f t="array" ref="I95">_xll.Turner.GasVelocityWater($B$5,C95,D95+459.67)</f>
        <v>4.5024353165188584</v>
      </c>
      <c r="J95" s="1" cm="1">
        <f t="array" ref="J95">_xll.Turner.GasRateStd(I95, $D$3, C95, D95+459.67, $B$5)</f>
        <v>2.3291132531504641</v>
      </c>
      <c r="K95" s="1">
        <f t="shared" si="2"/>
        <v>8.6500382921677233E-4</v>
      </c>
    </row>
    <row r="96" spans="1:11" x14ac:dyDescent="0.45">
      <c r="A96">
        <f t="shared" si="3"/>
        <v>73</v>
      </c>
      <c r="B96" s="2">
        <v>7200</v>
      </c>
      <c r="C96" s="2">
        <v>3061.8306679903367</v>
      </c>
      <c r="D96" s="2">
        <v>151.19999999999999</v>
      </c>
      <c r="E96" s="1">
        <v>11.62671040022067</v>
      </c>
      <c r="F96" s="1">
        <v>0.69781637913887917</v>
      </c>
      <c r="G96" s="1">
        <v>4.6698847511192678</v>
      </c>
      <c r="H96" s="1">
        <v>3.8733277198500565E-3</v>
      </c>
      <c r="I96" s="1" cm="1">
        <f t="array" ref="I96">_xll.Turner.GasVelocityWater($B$5,C96,D96+459.67)</f>
        <v>4.4891142717104824</v>
      </c>
      <c r="J96" s="1" cm="1">
        <f t="array" ref="J96">_xll.Turner.GasRateStd(I96, $D$3, C96, D96+459.67, $B$5)</f>
        <v>2.3347096229666953</v>
      </c>
      <c r="K96" s="1">
        <f t="shared" si="2"/>
        <v>8.6282671489541004E-4</v>
      </c>
    </row>
    <row r="97" spans="1:11" x14ac:dyDescent="0.45">
      <c r="A97">
        <f t="shared" si="3"/>
        <v>74</v>
      </c>
      <c r="B97" s="2">
        <v>7300</v>
      </c>
      <c r="C97" s="2">
        <v>3090.9294256329295</v>
      </c>
      <c r="D97" s="2">
        <v>152.05000000000001</v>
      </c>
      <c r="E97" s="1">
        <v>11.689231064285112</v>
      </c>
      <c r="F97" s="1">
        <v>0.69605800239147075</v>
      </c>
      <c r="G97" s="1">
        <v>4.6698847511192678</v>
      </c>
      <c r="H97" s="1">
        <v>3.8526109575709568E-3</v>
      </c>
      <c r="I97" s="1" cm="1">
        <f t="array" ref="I97">_xll.Turner.GasVelocityWater($B$5,C97,D97+459.67)</f>
        <v>4.4761124258824649</v>
      </c>
      <c r="J97" s="1" cm="1">
        <f t="array" ref="J97">_xll.Turner.GasRateStd(I97, $D$3, C97, D97+459.67, $B$5)</f>
        <v>2.3401934374337174</v>
      </c>
      <c r="K97" s="1">
        <f t="shared" si="2"/>
        <v>8.6070468992105692E-4</v>
      </c>
    </row>
    <row r="98" spans="1:11" x14ac:dyDescent="0.45">
      <c r="A98">
        <f t="shared" si="3"/>
        <v>75</v>
      </c>
      <c r="B98" s="2">
        <v>7400</v>
      </c>
      <c r="C98" s="2">
        <v>3119.9938569228948</v>
      </c>
      <c r="D98" s="2">
        <v>152.9</v>
      </c>
      <c r="E98" s="1">
        <v>11.75072064852082</v>
      </c>
      <c r="F98" s="1">
        <v>0.69432842314690824</v>
      </c>
      <c r="G98" s="1">
        <v>4.6698847511192678</v>
      </c>
      <c r="H98" s="1">
        <v>3.8324508794711702E-3</v>
      </c>
      <c r="I98" s="1" cm="1">
        <f t="array" ref="I98">_xll.Turner.GasVelocityWater($B$5,C98,D98+459.67)</f>
        <v>4.463418682907883</v>
      </c>
      <c r="J98" s="1" cm="1">
        <f t="array" ref="J98">_xll.Turner.GasRateStd(I98, $D$3, C98, D98+459.67, $B$5)</f>
        <v>2.3455679083332854</v>
      </c>
      <c r="K98" s="1">
        <f t="shared" si="2"/>
        <v>8.5863575696966832E-4</v>
      </c>
    </row>
    <row r="99" spans="1:11" x14ac:dyDescent="0.45">
      <c r="A99">
        <f t="shared" si="3"/>
        <v>76</v>
      </c>
      <c r="B99" s="2">
        <v>7500</v>
      </c>
      <c r="C99" s="2">
        <v>3149.0246526049868</v>
      </c>
      <c r="D99" s="2">
        <v>153.75</v>
      </c>
      <c r="E99" s="1">
        <v>11.811202486031105</v>
      </c>
      <c r="F99" s="1">
        <v>0.69262689655907261</v>
      </c>
      <c r="G99" s="1">
        <v>4.6698847511192678</v>
      </c>
      <c r="H99" s="1">
        <v>3.8128259791587373E-3</v>
      </c>
      <c r="I99" s="1" cm="1">
        <f t="array" ref="I99">_xll.Turner.GasVelocityWater($B$5,C99,D99+459.67)</f>
        <v>4.4510224348712004</v>
      </c>
      <c r="J99" s="1" cm="1">
        <f t="array" ref="J99">_xll.Turner.GasRateStd(I99, $D$3, C99, D99+459.67, $B$5)</f>
        <v>2.3508361366956652</v>
      </c>
      <c r="K99" s="1">
        <f t="shared" si="2"/>
        <v>8.5661800967064088E-4</v>
      </c>
    </row>
    <row r="100" spans="1:11" x14ac:dyDescent="0.45">
      <c r="A100">
        <f t="shared" si="3"/>
        <v>77</v>
      </c>
      <c r="B100" s="2">
        <v>7600</v>
      </c>
      <c r="C100" s="2">
        <v>3178.0224816958116</v>
      </c>
      <c r="D100" s="2">
        <v>154.60000000000002</v>
      </c>
      <c r="E100" s="1">
        <v>11.870699344826905</v>
      </c>
      <c r="F100" s="1">
        <v>0.69095269973518714</v>
      </c>
      <c r="G100" s="1">
        <v>4.6698847511192678</v>
      </c>
      <c r="H100" s="1">
        <v>3.7937158018806118E-3</v>
      </c>
      <c r="I100" s="1" cm="1">
        <f t="array" ref="I100">_xll.Turner.GasVelocityWater($B$5,C100,D100+459.67)</f>
        <v>4.4389135367931045</v>
      </c>
      <c r="J100" s="1" cm="1">
        <f t="array" ref="J100">_xll.Turner.GasRateStd(I100, $D$3, C100, D100+459.67, $B$5)</f>
        <v>2.3560011168809569</v>
      </c>
      <c r="K100" s="1">
        <f t="shared" si="2"/>
        <v>8.5464962776035148E-4</v>
      </c>
    </row>
    <row r="101" spans="1:11" x14ac:dyDescent="0.45">
      <c r="A101">
        <f t="shared" si="3"/>
        <v>78</v>
      </c>
      <c r="B101" s="2">
        <v>7700</v>
      </c>
      <c r="C101" s="2">
        <v>3206.9879922850305</v>
      </c>
      <c r="D101" s="2">
        <v>155.44999999999999</v>
      </c>
      <c r="E101" s="1">
        <v>11.929233435715757</v>
      </c>
      <c r="F101" s="1">
        <v>0.6893051311460151</v>
      </c>
      <c r="G101" s="1">
        <v>4.6698847511192678</v>
      </c>
      <c r="H101" s="1">
        <v>3.7751008836002047E-3</v>
      </c>
      <c r="I101" s="1" cm="1">
        <f t="array" ref="I101">_xll.Turner.GasVelocityWater($B$5,C101,D101+459.67)</f>
        <v>4.4270822828216838</v>
      </c>
      <c r="J101" s="1" cm="1">
        <f t="array" ref="J101">_xll.Turner.GasRateStd(I101, $D$3, C101, D101+459.67, $B$5)</f>
        <v>2.3610657405295923</v>
      </c>
      <c r="K101" s="1">
        <f t="shared" si="2"/>
        <v>8.5272887252370506E-4</v>
      </c>
    </row>
    <row r="102" spans="1:11" x14ac:dyDescent="0.45">
      <c r="A102">
        <f t="shared" si="3"/>
        <v>79</v>
      </c>
      <c r="B102" s="2">
        <v>7800</v>
      </c>
      <c r="C102" s="2">
        <v>3235.9218123054488</v>
      </c>
      <c r="D102" s="2">
        <v>156.30000000000001</v>
      </c>
      <c r="E102" s="1">
        <v>11.986826420908312</v>
      </c>
      <c r="F102" s="1">
        <v>0.68768351003754569</v>
      </c>
      <c r="G102" s="1">
        <v>4.6698847511192678</v>
      </c>
      <c r="H102" s="1">
        <v>3.7569626940865608E-3</v>
      </c>
      <c r="I102" s="1" cm="1">
        <f t="array" ref="I102">_xll.Turner.GasVelocityWater($B$5,C102,D102+459.67)</f>
        <v>4.4155193837985367</v>
      </c>
      <c r="J102" s="1" cm="1">
        <f t="array" ref="J102">_xll.Turner.GasRateStd(I102, $D$3, C102, D102+459.67, $B$5)</f>
        <v>2.3660328003822655</v>
      </c>
      <c r="K102" s="1">
        <f t="shared" si="2"/>
        <v>8.5085408250536545E-4</v>
      </c>
    </row>
    <row r="103" spans="1:11" x14ac:dyDescent="0.45">
      <c r="A103">
        <f t="shared" si="3"/>
        <v>80</v>
      </c>
      <c r="B103" s="2">
        <v>7900</v>
      </c>
      <c r="C103" s="2">
        <v>3264.8245502730424</v>
      </c>
      <c r="D103" s="2">
        <v>157.15</v>
      </c>
      <c r="E103" s="1">
        <v>12.04349942322257</v>
      </c>
      <c r="F103" s="1">
        <v>0.68608717584637091</v>
      </c>
      <c r="G103" s="1">
        <v>4.6698847511192678</v>
      </c>
      <c r="H103" s="1">
        <v>3.7392835837238366E-3</v>
      </c>
      <c r="I103" s="1" cm="1">
        <f t="array" ref="I103">_xll.Turner.GasVelocityWater($B$5,C103,D103+459.67)</f>
        <v>4.4042159461141779</v>
      </c>
      <c r="J103" s="1" cm="1">
        <f t="array" ref="J103">_xll.Turner.GasRateStd(I103, $D$3, C103, D103+459.67, $B$5)</f>
        <v>2.3709049939702327</v>
      </c>
      <c r="K103" s="1">
        <f t="shared" si="2"/>
        <v>8.4902366947356238E-4</v>
      </c>
    </row>
    <row r="104" spans="1:11" x14ac:dyDescent="0.45">
      <c r="A104">
        <f t="shared" si="3"/>
        <v>81</v>
      </c>
      <c r="B104" s="2">
        <v>8000</v>
      </c>
      <c r="C104" s="2">
        <v>3293.696795997967</v>
      </c>
      <c r="D104" s="2">
        <v>158</v>
      </c>
      <c r="E104" s="1">
        <v>12.099273035779261</v>
      </c>
      <c r="F104" s="1">
        <v>0.68451548762061176</v>
      </c>
      <c r="G104" s="1">
        <v>4.6698847511192678</v>
      </c>
      <c r="H104" s="1">
        <v>3.7220467337724821E-3</v>
      </c>
      <c r="I104" s="1" cm="1">
        <f t="array" ref="I104">_xll.Turner.GasVelocityWater($B$5,C104,D104+459.67)</f>
        <v>4.393163451772657</v>
      </c>
      <c r="J104" s="1" cm="1">
        <f t="array" ref="J104">_xll.Turner.GasRateStd(I104, $D$3, C104, D104+459.67, $B$5)</f>
        <v>2.3756849271774194</v>
      </c>
      <c r="K104" s="1">
        <f t="shared" si="2"/>
        <v>8.4723611462046169E-4</v>
      </c>
    </row>
    <row r="105" spans="1:11" x14ac:dyDescent="0.45">
      <c r="A105">
        <f t="shared" si="3"/>
        <v>82</v>
      </c>
      <c r="B105" s="2">
        <v>8100</v>
      </c>
      <c r="C105" s="2">
        <v>3322.539121267595</v>
      </c>
      <c r="D105" s="2">
        <v>158.85000000000002</v>
      </c>
      <c r="E105" s="1">
        <v>12.154167332093662</v>
      </c>
      <c r="F105" s="1">
        <v>0.68296782344805118</v>
      </c>
      <c r="G105" s="1">
        <v>4.6698847511192678</v>
      </c>
      <c r="H105" s="1">
        <v>3.7052361098344482E-3</v>
      </c>
      <c r="I105" s="1" cm="1">
        <f t="array" ref="I105">_xll.Turner.GasVelocityWater($B$5,C105,D105+459.67)</f>
        <v>4.3823537395904388</v>
      </c>
      <c r="J105" s="1" cm="1">
        <f t="array" ref="J105">_xll.Turner.GasRateStd(I105, $D$3, C105, D105+459.67, $B$5)</f>
        <v>2.3803751176763215</v>
      </c>
      <c r="K105" s="1">
        <f t="shared" si="2"/>
        <v>8.4548996498414299E-4</v>
      </c>
    </row>
    <row r="106" spans="1:11" x14ac:dyDescent="0.45">
      <c r="A106">
        <f t="shared" si="3"/>
        <v>83</v>
      </c>
      <c r="B106" s="2">
        <v>8200</v>
      </c>
      <c r="C106" s="2">
        <v>3351.3520805025987</v>
      </c>
      <c r="D106" s="2">
        <v>159.69999999999999</v>
      </c>
      <c r="E106" s="1">
        <v>12.208201876480066</v>
      </c>
      <c r="F106" s="1">
        <v>0.68144357989276172</v>
      </c>
      <c r="G106" s="1">
        <v>4.6698847511192678</v>
      </c>
      <c r="H106" s="1">
        <v>3.6888364182939039E-3</v>
      </c>
      <c r="I106" s="1" cm="1">
        <f t="array" ref="I106">_xll.Turner.GasVelocityWater($B$5,C106,D106+459.67)</f>
        <v>4.3717789874594439</v>
      </c>
      <c r="J106" s="1" cm="1">
        <f t="array" ref="J106">_xll.Turner.GasRateStd(I106, $D$3, C106, D106+459.67, $B$5)</f>
        <v>2.3849779982399855</v>
      </c>
      <c r="K106" s="1">
        <f t="shared" si="2"/>
        <v>8.4378383007819528E-4</v>
      </c>
    </row>
    <row r="107" spans="1:11" x14ac:dyDescent="0.45">
      <c r="A107">
        <f t="shared" si="3"/>
        <v>84</v>
      </c>
      <c r="B107" s="2">
        <v>8300</v>
      </c>
      <c r="C107" s="2">
        <v>3380.1362113870914</v>
      </c>
      <c r="D107" s="2">
        <v>160.55000000000001</v>
      </c>
      <c r="E107" s="1">
        <v>12.261395734694453</v>
      </c>
      <c r="F107" s="1">
        <v>0.67994217144139157</v>
      </c>
      <c r="G107" s="1">
        <v>4.6698847511192678</v>
      </c>
      <c r="H107" s="1">
        <v>3.6728330655226085E-3</v>
      </c>
      <c r="I107" s="1" cm="1">
        <f t="array" ref="I107">_xll.Turner.GasVelocityWater($B$5,C107,D107+459.67)</f>
        <v>4.3614316956086547</v>
      </c>
      <c r="J107" s="1" cm="1">
        <f t="array" ref="J107">_xll.Turner.GasRateStd(I107, $D$3, C107, D107+459.67, $B$5)</f>
        <v>2.3894959199326937</v>
      </c>
      <c r="K107" s="1">
        <f t="shared" si="2"/>
        <v>8.4211637871587719E-4</v>
      </c>
    </row>
    <row r="108" spans="1:11" x14ac:dyDescent="0.45">
      <c r="A108">
        <f t="shared" si="3"/>
        <v>85</v>
      </c>
      <c r="B108" s="2">
        <v>8400</v>
      </c>
      <c r="C108" s="2">
        <v>3408.8920354738093</v>
      </c>
      <c r="D108" s="2">
        <v>161.4</v>
      </c>
      <c r="E108" s="1">
        <v>12.313767484749969</v>
      </c>
      <c r="F108" s="1">
        <v>0.67846302995996577</v>
      </c>
      <c r="G108" s="1">
        <v>4.6698847511192678</v>
      </c>
      <c r="H108" s="1">
        <v>3.6572121196551946E-3</v>
      </c>
      <c r="I108" s="1" cm="1">
        <f t="array" ref="I108">_xll.Turner.GasVelocityWater($B$5,C108,D108+459.67)</f>
        <v>4.3513046708029224</v>
      </c>
      <c r="J108" s="1" cm="1">
        <f t="array" ref="J108">_xll.Turner.GasRateStd(I108, $D$3, C108, D108+459.67, $B$5)</f>
        <v>2.3939311551822238</v>
      </c>
      <c r="K108" s="1">
        <f t="shared" si="2"/>
        <v>8.4048633601662955E-4</v>
      </c>
    </row>
    <row r="109" spans="1:11" x14ac:dyDescent="0.45">
      <c r="A109">
        <f t="shared" si="3"/>
        <v>86</v>
      </c>
      <c r="B109" s="2">
        <v>8500</v>
      </c>
      <c r="C109" s="2">
        <v>3437.6200587653007</v>
      </c>
      <c r="D109" s="2">
        <v>162.25</v>
      </c>
      <c r="E109" s="1">
        <v>12.365335227847543</v>
      </c>
      <c r="F109" s="1">
        <v>0.67700560416192535</v>
      </c>
      <c r="G109" s="1">
        <v>4.6698847511192678</v>
      </c>
      <c r="H109" s="1">
        <v>3.6419602747545425E-3</v>
      </c>
      <c r="I109" s="1" cm="1">
        <f t="array" ref="I109">_xll.Turner.GasVelocityWater($B$5,C109,D109+459.67)</f>
        <v>4.3413910114216199</v>
      </c>
      <c r="J109" s="1" cm="1">
        <f t="array" ref="J109">_xll.Turner.GasRateStd(I109, $D$3, C109, D109+459.67, $B$5)</f>
        <v>2.3982859007367359</v>
      </c>
      <c r="K109" s="1">
        <f t="shared" si="2"/>
        <v>8.3889248058353449E-4</v>
      </c>
    </row>
    <row r="110" spans="1:11" x14ac:dyDescent="0.45">
      <c r="A110">
        <f t="shared" si="3"/>
        <v>87</v>
      </c>
      <c r="B110" s="2">
        <v>8600</v>
      </c>
      <c r="C110" s="2">
        <v>3466.3207722720563</v>
      </c>
      <c r="D110" s="2">
        <v>163.10000000000002</v>
      </c>
      <c r="E110" s="1">
        <v>12.416116599370856</v>
      </c>
      <c r="F110" s="1">
        <v>0.67556935908804627</v>
      </c>
      <c r="G110" s="1">
        <v>4.6698847511192678</v>
      </c>
      <c r="H110" s="1">
        <v>3.6270648172010236E-3</v>
      </c>
      <c r="I110" s="1" cm="1">
        <f t="array" ref="I110">_xll.Turner.GasVelocityWater($B$5,C110,D110+459.67)</f>
        <v>4.3316840933634424</v>
      </c>
      <c r="J110" s="1" cm="1">
        <f t="array" ref="J110">_xll.Turner.GasRateStd(I110, $D$3, C110, D110+459.67, $B$5)</f>
        <v>2.4025622805094593</v>
      </c>
      <c r="K110" s="1">
        <f t="shared" si="2"/>
        <v>8.3733364184106511E-4</v>
      </c>
    </row>
    <row r="111" spans="1:11" x14ac:dyDescent="0.45">
      <c r="A111">
        <f t="shared" si="3"/>
        <v>88</v>
      </c>
      <c r="B111" s="2">
        <v>8700</v>
      </c>
      <c r="C111" s="2">
        <v>3494.9946525484961</v>
      </c>
      <c r="D111" s="2">
        <v>163.95</v>
      </c>
      <c r="E111" s="1">
        <v>12.466128779901423</v>
      </c>
      <c r="F111" s="1">
        <v>0.67415377559860923</v>
      </c>
      <c r="G111" s="1">
        <v>4.6698847511192678</v>
      </c>
      <c r="H111" s="1">
        <v>3.6125135941520218E-3</v>
      </c>
      <c r="I111" s="1" cm="1">
        <f t="array" ref="I111">_xll.Turner.GasVelocityWater($B$5,C111,D111+459.67)</f>
        <v>4.3221775567271283</v>
      </c>
      <c r="J111" s="1" cm="1">
        <f t="array" ref="J111">_xll.Turner.GasRateStd(I111, $D$3, C111, D111+459.67, $B$5)</f>
        <v>2.4067623483144924</v>
      </c>
      <c r="K111" s="1">
        <f t="shared" si="2"/>
        <v>8.3580869752318001E-4</v>
      </c>
    </row>
    <row r="112" spans="1:11" x14ac:dyDescent="0.45">
      <c r="A112">
        <f t="shared" si="3"/>
        <v>89</v>
      </c>
      <c r="B112" s="2">
        <v>8800</v>
      </c>
      <c r="C112" s="2">
        <v>3523.6421622076955</v>
      </c>
      <c r="D112" s="2">
        <v>164.8</v>
      </c>
      <c r="E112" s="1">
        <v>12.51538850621508</v>
      </c>
      <c r="F112" s="1">
        <v>0.67275834987816641</v>
      </c>
      <c r="G112" s="1">
        <v>4.6698847511192678</v>
      </c>
      <c r="H112" s="1">
        <v>3.5982949839295808E-3</v>
      </c>
      <c r="I112" s="1" cm="1">
        <f t="array" ref="I112">_xll.Turner.GasVelocityWater($B$5,C112,D112+459.67)</f>
        <v>4.3128652932211491</v>
      </c>
      <c r="J112" s="1" cm="1">
        <f t="array" ref="J112">_xll.Turner.GasRateStd(I112, $D$3, C112, D112+459.67, $B$5)</f>
        <v>2.4108880904970587</v>
      </c>
      <c r="K112" s="1">
        <f t="shared" si="2"/>
        <v>8.3431657130244447E-4</v>
      </c>
    </row>
    <row r="113" spans="1:11" x14ac:dyDescent="0.45">
      <c r="A113">
        <f t="shared" si="3"/>
        <v>90</v>
      </c>
      <c r="B113" s="2">
        <v>8900</v>
      </c>
      <c r="C113" s="2">
        <v>3552.2637504157074</v>
      </c>
      <c r="D113" s="2">
        <v>165.65</v>
      </c>
      <c r="E113" s="1">
        <v>12.563912082226235</v>
      </c>
      <c r="F113" s="1">
        <v>0.67138259295314717</v>
      </c>
      <c r="G113" s="1">
        <v>4.6698847511192678</v>
      </c>
      <c r="H113" s="1">
        <v>3.5843978682047525E-3</v>
      </c>
      <c r="I113" s="1" cm="1">
        <f t="array" ref="I113">_xll.Turner.GasVelocityWater($B$5,C113,D113+459.67)</f>
        <v>4.3037414342584022</v>
      </c>
      <c r="J113" s="1" cm="1">
        <f t="array" ref="J113">_xll.Turner.GasRateStd(I113, $D$3, C113, D113+459.67, $B$5)</f>
        <v>2.4149414284616157</v>
      </c>
      <c r="K113" s="1">
        <f t="shared" si="2"/>
        <v>8.3285623055149845E-4</v>
      </c>
    </row>
    <row r="114" spans="1:11" x14ac:dyDescent="0.45">
      <c r="A114">
        <f t="shared" si="3"/>
        <v>91</v>
      </c>
      <c r="B114" s="2">
        <v>9000</v>
      </c>
      <c r="C114" s="2">
        <v>3580.8598533663094</v>
      </c>
      <c r="D114" s="2">
        <v>166.5</v>
      </c>
      <c r="E114" s="1">
        <v>12.611715389850795</v>
      </c>
      <c r="F114" s="1">
        <v>0.67002603022240126</v>
      </c>
      <c r="G114" s="1">
        <v>4.6698847511192678</v>
      </c>
      <c r="H114" s="1">
        <v>3.5708116058569281E-3</v>
      </c>
      <c r="I114" s="1" cm="1">
        <f t="array" ref="I114">_xll.Turner.GasVelocityWater($B$5,C114,D114+459.67)</f>
        <v>4.2948003396947936</v>
      </c>
      <c r="J114" s="1" cm="1">
        <f t="array" ref="J114">_xll.Turner.GasRateStd(I114, $D$3, C114, D114+459.67, $B$5)</f>
        <v>2.4189242211012156</v>
      </c>
      <c r="K114" s="1">
        <f t="shared" si="2"/>
        <v>8.3142668422874454E-4</v>
      </c>
    </row>
    <row r="115" spans="1:11" x14ac:dyDescent="0.45">
      <c r="A115">
        <f t="shared" si="3"/>
        <v>92</v>
      </c>
      <c r="B115" s="2">
        <v>9100</v>
      </c>
      <c r="C115" s="2">
        <v>3609.4308947369732</v>
      </c>
      <c r="D115" s="2">
        <v>167.35000000000002</v>
      </c>
      <c r="E115" s="1">
        <v>12.658813899762714</v>
      </c>
      <c r="F115" s="1">
        <v>0.66868820100078452</v>
      </c>
      <c r="G115" s="1">
        <v>4.6698847511192678</v>
      </c>
      <c r="H115" s="1">
        <v>3.5575260083954463E-3</v>
      </c>
      <c r="I115" s="1" cm="1">
        <f t="array" ref="I115">_xll.Turner.GasVelocityWater($B$5,C115,D115+459.67)</f>
        <v>4.2860365871732204</v>
      </c>
      <c r="J115" s="1" cm="1">
        <f t="array" ref="J115">_xll.Turner.GasRateStd(I115, $D$3, C115, D115+459.67, $B$5)</f>
        <v>2.4228382671315161</v>
      </c>
      <c r="K115" s="1">
        <f t="shared" si="2"/>
        <v>8.3002698088066248E-4</v>
      </c>
    </row>
    <row r="116" spans="1:11" x14ac:dyDescent="0.45">
      <c r="A116">
        <f t="shared" si="3"/>
        <v>93</v>
      </c>
      <c r="B116" s="2">
        <v>9200</v>
      </c>
      <c r="C116" s="2">
        <v>3637.9772861268289</v>
      </c>
      <c r="D116" s="2">
        <v>168.2</v>
      </c>
      <c r="E116" s="1">
        <v>12.705222682022709</v>
      </c>
      <c r="F116" s="1">
        <v>0.66736865807565526</v>
      </c>
      <c r="G116" s="1">
        <v>4.6698847511192678</v>
      </c>
      <c r="H116" s="1">
        <v>3.5445313168390759E-3</v>
      </c>
      <c r="I116" s="1" cm="1">
        <f t="array" ref="I116">_xll.Turner.GasVelocityWater($B$5,C116,D116+459.67)</f>
        <v>4.2774449620369293</v>
      </c>
      <c r="J116" s="1" cm="1">
        <f t="array" ref="J116">_xll.Turner.GasRateStd(I116, $D$3, C116, D116+459.67, $B$5)</f>
        <v>2.4266853073328019</v>
      </c>
      <c r="K116" s="1">
        <f t="shared" si="2"/>
        <v>8.2865620675366019E-4</v>
      </c>
    </row>
    <row r="117" spans="1:11" x14ac:dyDescent="0.45">
      <c r="A117">
        <f t="shared" si="3"/>
        <v>94</v>
      </c>
      <c r="B117" s="2">
        <v>9300</v>
      </c>
      <c r="C117" s="2">
        <v>3666.499427477369</v>
      </c>
      <c r="D117" s="2">
        <v>169.05</v>
      </c>
      <c r="E117" s="1">
        <v>12.750956416560941</v>
      </c>
      <c r="F117" s="1">
        <v>0.66606696727647785</v>
      </c>
      <c r="G117" s="1">
        <v>4.6698847511192678</v>
      </c>
      <c r="H117" s="1">
        <v>3.5318181799565583E-3</v>
      </c>
      <c r="I117" s="1" cm="1">
        <f t="array" ref="I117">_xll.Turner.GasVelocityWater($B$5,C117,D117+459.67)</f>
        <v>4.2690204477785549</v>
      </c>
      <c r="J117" s="1" cm="1">
        <f t="array" ref="J117">_xll.Turner.GasRateStd(I117, $D$3, C117, D117+459.67, $B$5)</f>
        <v>2.4304670267033415</v>
      </c>
      <c r="K117" s="1">
        <f t="shared" si="2"/>
        <v>8.2731348400881749E-4</v>
      </c>
    </row>
    <row r="118" spans="1:11" x14ac:dyDescent="0.45">
      <c r="A118">
        <f t="shared" si="3"/>
        <v>95</v>
      </c>
      <c r="B118" s="2">
        <v>9400</v>
      </c>
      <c r="C118" s="2">
        <v>3694.9977074766025</v>
      </c>
      <c r="D118" s="2">
        <v>169.9</v>
      </c>
      <c r="E118" s="1">
        <v>12.796029403498229</v>
      </c>
      <c r="F118" s="1">
        <v>0.66478270705710008</v>
      </c>
      <c r="G118" s="1">
        <v>4.6698847511192678</v>
      </c>
      <c r="H118" s="1">
        <v>3.5193776337784956E-3</v>
      </c>
      <c r="I118" s="1" cm="1">
        <f t="array" ref="I118">_xll.Turner.GasVelocityWater($B$5,C118,D118+459.67)</f>
        <v>4.2607582169932448</v>
      </c>
      <c r="J118" s="1" cm="1">
        <f t="array" ref="J118">_xll.Turner.GasRateStd(I118, $D$3, C118, D118+459.67, $B$5)</f>
        <v>2.4341850565273515</v>
      </c>
      <c r="K118" s="1">
        <f t="shared" si="2"/>
        <v>8.2599796903333076E-4</v>
      </c>
    </row>
    <row r="119" spans="1:11" x14ac:dyDescent="0.45">
      <c r="A119">
        <f t="shared" si="3"/>
        <v>96</v>
      </c>
      <c r="B119" s="2">
        <v>9500</v>
      </c>
      <c r="C119" s="2">
        <v>3723.4725039473515</v>
      </c>
      <c r="D119" s="2">
        <v>170.75</v>
      </c>
      <c r="E119" s="1">
        <v>12.84045557329309</v>
      </c>
      <c r="F119" s="1">
        <v>0.66351546809081263</v>
      </c>
      <c r="G119" s="1">
        <v>4.6698847511192678</v>
      </c>
      <c r="H119" s="1">
        <v>3.5072010822972794E-3</v>
      </c>
      <c r="I119" s="1" cm="1">
        <f t="array" ref="I119">_xll.Turner.GasVelocityWater($B$5,C119,D119+459.67)</f>
        <v>4.2526536230104952</v>
      </c>
      <c r="J119" s="1" cm="1">
        <f t="array" ref="J119">_xll.Turner.GasRateStd(I119, $D$3, C119, D119+459.67, $B$5)</f>
        <v>2.4378409762685584</v>
      </c>
      <c r="K119" s="1">
        <f t="shared" si="2"/>
        <v>8.2470885080325386E-4</v>
      </c>
    </row>
    <row r="120" spans="1:11" x14ac:dyDescent="0.45">
      <c r="A120">
        <f t="shared" si="3"/>
        <v>97</v>
      </c>
      <c r="B120" s="2">
        <v>9600</v>
      </c>
      <c r="C120" s="2">
        <v>3751.9241842207462</v>
      </c>
      <c r="D120" s="2">
        <v>171.60000000000002</v>
      </c>
      <c r="E120" s="1">
        <v>12.884248495597937</v>
      </c>
      <c r="F120" s="1">
        <v>0.662264852902965</v>
      </c>
      <c r="G120" s="1">
        <v>4.6698847511192678</v>
      </c>
      <c r="H120" s="1">
        <v>3.4952802795778187E-3</v>
      </c>
      <c r="I120" s="1" cm="1">
        <f t="array" ref="I120">_xll.Turner.GasVelocityWater($B$5,C120,D120+459.67)</f>
        <v>4.2447021910516929</v>
      </c>
      <c r="J120" s="1" cm="1">
        <f t="array" ref="J120">_xll.Turner.GasRateStd(I120, $D$3, C120, D120+459.67, $B$5)</f>
        <v>2.4414363158003969</v>
      </c>
      <c r="K120" s="1">
        <f t="shared" si="2"/>
        <v>8.2344534958100489E-4</v>
      </c>
    </row>
    <row r="121" spans="1:11" x14ac:dyDescent="0.45">
      <c r="A121">
        <f t="shared" si="3"/>
        <v>98</v>
      </c>
      <c r="B121" s="2">
        <v>9700</v>
      </c>
      <c r="C121" s="2">
        <v>3780.3531054937507</v>
      </c>
      <c r="D121" s="2">
        <v>172.45</v>
      </c>
      <c r="E121" s="1">
        <v>12.927421392903598</v>
      </c>
      <c r="F121" s="1">
        <v>0.6610304754027625</v>
      </c>
      <c r="G121" s="1">
        <v>4.6698847511192678</v>
      </c>
      <c r="H121" s="1">
        <v>3.4836073115528461E-3</v>
      </c>
      <c r="I121" s="1" cm="1">
        <f t="array" ref="I121">_xll.Turner.GasVelocityWater($B$5,C121,D121+459.67)</f>
        <v>4.2368996114902542</v>
      </c>
      <c r="J121" s="1" cm="1">
        <f t="array" ref="J121">_xll.Turner.GasRateStd(I121, $D$3, C121, D121+459.67, $B$5)</f>
        <v>2.4449725568017002</v>
      </c>
      <c r="K121" s="1">
        <f t="shared" si="2"/>
        <v>8.2220671504830607E-4</v>
      </c>
    </row>
    <row r="122" spans="1:11" x14ac:dyDescent="0.45">
      <c r="A122">
        <f t="shared" si="3"/>
        <v>99</v>
      </c>
      <c r="B122" s="2">
        <v>9800</v>
      </c>
      <c r="C122" s="2">
        <v>3808.7596151746266</v>
      </c>
      <c r="D122" s="2">
        <v>173.3</v>
      </c>
      <c r="E122" s="1">
        <v>12.969987144898932</v>
      </c>
      <c r="F122" s="1">
        <v>0.6598119606335251</v>
      </c>
      <c r="G122" s="1">
        <v>4.6698847511192678</v>
      </c>
      <c r="H122" s="1">
        <v>3.4721745812643654E-3</v>
      </c>
      <c r="I122" s="1" cm="1">
        <f t="array" ref="I122">_xll.Turner.GasVelocityWater($B$5,C122,D122+459.67)</f>
        <v>4.2292417319600339</v>
      </c>
      <c r="J122" s="1" cm="1">
        <f t="array" ref="J122">_xll.Turner.GasRateStd(I122, $D$3, C122, D122+459.67, $B$5)</f>
        <v>2.4484511347774145</v>
      </c>
      <c r="K122" s="1">
        <f t="shared" si="2"/>
        <v>8.2099222539715004E-4</v>
      </c>
    </row>
    <row r="123" spans="1:11" x14ac:dyDescent="0.45">
      <c r="A123">
        <f t="shared" si="3"/>
        <v>100</v>
      </c>
      <c r="B123" s="2">
        <v>9900</v>
      </c>
      <c r="C123" s="2">
        <v>3837.1440512138761</v>
      </c>
      <c r="D123" s="2">
        <v>174.15</v>
      </c>
      <c r="E123" s="1">
        <v>13.011958300981897</v>
      </c>
      <c r="F123" s="1">
        <v>0.65860894434481021</v>
      </c>
      <c r="G123" s="1">
        <v>4.6698847511192678</v>
      </c>
      <c r="H123" s="1">
        <v>3.460974792737027E-3</v>
      </c>
      <c r="I123" s="1" cm="1">
        <f t="array" ref="I123">_xll.Turner.GasVelocityWater($B$5,C123,D123+459.67)</f>
        <v>4.2217245505553294</v>
      </c>
      <c r="J123" s="1" cm="1">
        <f t="array" ref="J123">_xll.Turner.GasRateStd(I123, $D$3, C123, D123+459.67, $B$5)</f>
        <v>2.4518734406856613</v>
      </c>
      <c r="K123" s="1">
        <f t="shared" si="2"/>
        <v>8.1980118581676941E-4</v>
      </c>
    </row>
    <row r="124" spans="1:11" x14ac:dyDescent="0.45">
      <c r="A124">
        <f>A123+1</f>
        <v>101</v>
      </c>
      <c r="B124" s="2">
        <v>10000</v>
      </c>
      <c r="C124" s="2">
        <v>3865.5067424226404</v>
      </c>
      <c r="D124" s="2">
        <v>175</v>
      </c>
      <c r="E124" s="1">
        <v>13.053347088689828</v>
      </c>
      <c r="F124" s="1">
        <v>0.65742107266409833</v>
      </c>
      <c r="G124" s="1">
        <v>4.6698847511192678</v>
      </c>
      <c r="H124" s="1">
        <v>3.4500009367607908E-3</v>
      </c>
      <c r="I124" s="1" cm="1">
        <f t="array" ref="I124">_xll.Turner.GasVelocityWater($B$5,C124,D124+459.67)</f>
        <v>4.2143442092495</v>
      </c>
      <c r="J124" s="1" cm="1">
        <f t="array" ref="J124">_xll.Turner.GasRateStd(I124, $D$3, C124, D124+459.67, $B$5)</f>
        <v>2.4552408225577764</v>
      </c>
      <c r="K124" s="1">
        <f t="shared" si="2"/>
        <v>8.1863292732208383E-4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15E3F-53F2-44C6-B026-38876EF4F633}">
  <sheetPr codeName="Sheet2"/>
  <dimension ref="B1:G49"/>
  <sheetViews>
    <sheetView workbookViewId="0">
      <selection activeCell="C30" sqref="C30"/>
    </sheetView>
  </sheetViews>
  <sheetFormatPr defaultRowHeight="17.5" x14ac:dyDescent="0.45"/>
  <sheetData>
    <row r="1" spans="2:7" x14ac:dyDescent="0.45">
      <c r="D1" t="s">
        <v>44</v>
      </c>
      <c r="E1">
        <v>4200</v>
      </c>
      <c r="F1" t="s">
        <v>46</v>
      </c>
      <c r="G1">
        <v>0.7</v>
      </c>
    </row>
    <row r="2" spans="2:7" x14ac:dyDescent="0.45">
      <c r="D2" t="s">
        <v>45</v>
      </c>
      <c r="E2">
        <f>175+459.67</f>
        <v>634.67000000000007</v>
      </c>
    </row>
    <row r="4" spans="2:7" x14ac:dyDescent="0.45">
      <c r="B4" t="s">
        <v>42</v>
      </c>
      <c r="C4" t="s">
        <v>43</v>
      </c>
      <c r="D4" t="s">
        <v>47</v>
      </c>
      <c r="E4" t="s">
        <v>43</v>
      </c>
      <c r="F4" t="s">
        <v>48</v>
      </c>
    </row>
    <row r="5" spans="2:7" x14ac:dyDescent="0.45">
      <c r="B5">
        <v>50000</v>
      </c>
      <c r="C5" s="8">
        <v>0</v>
      </c>
      <c r="D5">
        <v>1000000</v>
      </c>
      <c r="E5" s="9" cm="1">
        <f t="array" ref="E5">_xll.Gas.VoidFraction($G$1, $E$1, $E$2, D5, B5)</f>
        <v>1.381909191351703E-2</v>
      </c>
      <c r="F5" s="7">
        <f>D5/B5</f>
        <v>20</v>
      </c>
    </row>
    <row r="6" spans="2:7" x14ac:dyDescent="0.45">
      <c r="B6">
        <f t="shared" ref="B6:B14" si="0">B5-5000</f>
        <v>45000</v>
      </c>
      <c r="C6" s="8">
        <f>C5+0.05</f>
        <v>0.05</v>
      </c>
      <c r="D6">
        <v>3380383.6909760544</v>
      </c>
      <c r="E6" s="9" cm="1">
        <f t="array" ref="E6">_xll.Gas.VoidFraction($G$1, $E$1, $E$2, D6, B6)</f>
        <v>5.0000000447654035E-2</v>
      </c>
      <c r="F6" s="7">
        <f t="shared" ref="F6:F14" si="1">D6/B6</f>
        <v>75.119637577245655</v>
      </c>
    </row>
    <row r="7" spans="2:7" x14ac:dyDescent="0.45">
      <c r="B7">
        <f t="shared" si="0"/>
        <v>40000</v>
      </c>
      <c r="C7" s="8">
        <f t="shared" ref="C7:C14" si="2">C6+0.05</f>
        <v>0.1</v>
      </c>
      <c r="D7">
        <v>6343436.0068696318</v>
      </c>
      <c r="E7" s="9" cm="1">
        <f t="array" ref="E7">_xll.Gas.VoidFraction($G$1, $E$1, $E$2, D7, B7)</f>
        <v>0.10000000006488868</v>
      </c>
      <c r="F7" s="7">
        <f t="shared" si="1"/>
        <v>158.5859001717408</v>
      </c>
    </row>
    <row r="8" spans="2:7" x14ac:dyDescent="0.45">
      <c r="B8">
        <f t="shared" si="0"/>
        <v>35000</v>
      </c>
      <c r="C8" s="8">
        <f t="shared" si="2"/>
        <v>0.15000000000000002</v>
      </c>
      <c r="D8">
        <v>8812422.436802078</v>
      </c>
      <c r="E8" s="9" cm="1">
        <f t="array" ref="E8">_xll.Gas.VoidFraction($G$1, $E$1, $E$2, D8, B8)</f>
        <v>0.14995533705513092</v>
      </c>
      <c r="F8" s="7">
        <f t="shared" si="1"/>
        <v>251.7834981943451</v>
      </c>
    </row>
    <row r="9" spans="2:7" x14ac:dyDescent="0.45">
      <c r="B9">
        <f t="shared" si="0"/>
        <v>30000</v>
      </c>
      <c r="C9" s="8">
        <f t="shared" si="2"/>
        <v>0.2</v>
      </c>
      <c r="D9">
        <v>10704548.295616833</v>
      </c>
      <c r="E9" s="9" cm="1">
        <f t="array" ref="E9">_xll.Gas.VoidFraction($G$1, $E$1, $E$2, D9, B9)</f>
        <v>0.20000000062391649</v>
      </c>
      <c r="F9" s="7">
        <f t="shared" si="1"/>
        <v>356.81827652056114</v>
      </c>
    </row>
    <row r="10" spans="2:7" x14ac:dyDescent="0.45">
      <c r="B10">
        <f t="shared" si="0"/>
        <v>25000</v>
      </c>
      <c r="C10" s="8">
        <v>0.25</v>
      </c>
      <c r="D10">
        <v>11866883.787111493</v>
      </c>
      <c r="E10" s="9" cm="1">
        <f t="array" ref="E10">_xll.Gas.VoidFraction($G$1, $E$1, $E$2, D10, B10)</f>
        <v>0.24957319478613779</v>
      </c>
      <c r="F10" s="7">
        <f t="shared" si="1"/>
        <v>474.67535148445972</v>
      </c>
    </row>
    <row r="11" spans="2:7" x14ac:dyDescent="0.45">
      <c r="B11">
        <f t="shared" si="0"/>
        <v>20000</v>
      </c>
      <c r="C11" s="8">
        <v>0.3</v>
      </c>
      <c r="D11">
        <v>12221503.169596095</v>
      </c>
      <c r="E11" s="9" cm="1">
        <f t="array" ref="E11">_xll.Gas.VoidFraction($G$1, $E$1, $E$2, D11, B11)</f>
        <v>0.29978937886731127</v>
      </c>
      <c r="F11" s="7">
        <f t="shared" si="1"/>
        <v>611.07515847980471</v>
      </c>
    </row>
    <row r="12" spans="2:7" x14ac:dyDescent="0.45">
      <c r="B12">
        <f t="shared" si="0"/>
        <v>15000</v>
      </c>
      <c r="C12" s="8">
        <f t="shared" si="2"/>
        <v>0.35</v>
      </c>
      <c r="D12">
        <v>11510065.511940602</v>
      </c>
      <c r="E12" s="9" cm="1">
        <f t="array" ref="E12">_xll.Gas.VoidFraction($G$1, $E$1, $E$2, D12, B12)</f>
        <v>0.34964637025256229</v>
      </c>
      <c r="F12" s="7">
        <f t="shared" si="1"/>
        <v>767.33770079604017</v>
      </c>
    </row>
    <row r="13" spans="2:7" x14ac:dyDescent="0.45">
      <c r="B13">
        <f t="shared" si="0"/>
        <v>10000</v>
      </c>
      <c r="C13" s="8">
        <f t="shared" si="2"/>
        <v>0.39999999999999997</v>
      </c>
      <c r="D13">
        <v>9527047.98309898</v>
      </c>
      <c r="E13" s="9" cm="1">
        <f t="array" ref="E13">_xll.Gas.VoidFraction($G$1, $E$1, $E$2, D13, B13)</f>
        <v>0.40029985101107074</v>
      </c>
      <c r="F13" s="7">
        <f t="shared" si="1"/>
        <v>952.70479830989802</v>
      </c>
    </row>
    <row r="14" spans="2:7" x14ac:dyDescent="0.45">
      <c r="B14">
        <f t="shared" si="0"/>
        <v>5000</v>
      </c>
      <c r="C14" s="8">
        <f t="shared" si="2"/>
        <v>0.44999999999999996</v>
      </c>
      <c r="D14">
        <v>5840622.3333746726</v>
      </c>
      <c r="E14" s="9" cm="1">
        <f t="array" ref="E14">_xll.Gas.VoidFraction($G$1, $E$1, $E$2, D14, B14)</f>
        <v>0.45007534931881166</v>
      </c>
      <c r="F14" s="7">
        <f t="shared" si="1"/>
        <v>1168.1244666749344</v>
      </c>
    </row>
    <row r="18" spans="3:5" x14ac:dyDescent="0.45">
      <c r="C18" t="s">
        <v>48</v>
      </c>
      <c r="D18" t="s">
        <v>42</v>
      </c>
      <c r="E18" t="s">
        <v>43</v>
      </c>
    </row>
    <row r="19" spans="3:5" x14ac:dyDescent="0.45">
      <c r="C19" s="7">
        <v>20</v>
      </c>
      <c r="D19">
        <v>50000</v>
      </c>
      <c r="E19" s="10">
        <v>0</v>
      </c>
    </row>
    <row r="20" spans="3:5" x14ac:dyDescent="0.45">
      <c r="C20" s="7">
        <v>75.119637577245655</v>
      </c>
      <c r="D20">
        <v>45000</v>
      </c>
      <c r="E20" s="10">
        <v>0.05</v>
      </c>
    </row>
    <row r="21" spans="3:5" x14ac:dyDescent="0.45">
      <c r="C21" s="7">
        <v>158.5859001717408</v>
      </c>
      <c r="D21">
        <v>40000</v>
      </c>
      <c r="E21" s="10">
        <v>0.1</v>
      </c>
    </row>
    <row r="22" spans="3:5" x14ac:dyDescent="0.45">
      <c r="C22" s="7">
        <v>251.7834981943451</v>
      </c>
      <c r="D22">
        <v>35000</v>
      </c>
      <c r="E22" s="10">
        <v>0.15000000000000002</v>
      </c>
    </row>
    <row r="23" spans="3:5" x14ac:dyDescent="0.45">
      <c r="C23" s="7">
        <v>356.81827652056114</v>
      </c>
      <c r="D23">
        <v>30000</v>
      </c>
      <c r="E23" s="10">
        <v>0.2</v>
      </c>
    </row>
    <row r="24" spans="3:5" x14ac:dyDescent="0.45">
      <c r="C24" s="7">
        <v>474.67535148445972</v>
      </c>
      <c r="D24">
        <v>25000</v>
      </c>
      <c r="E24" s="10">
        <v>0.25</v>
      </c>
    </row>
    <row r="25" spans="3:5" x14ac:dyDescent="0.45">
      <c r="C25" s="7">
        <v>611.07515847980471</v>
      </c>
      <c r="D25">
        <v>20000</v>
      </c>
      <c r="E25" s="10">
        <v>0.3</v>
      </c>
    </row>
    <row r="26" spans="3:5" x14ac:dyDescent="0.45">
      <c r="C26" s="7">
        <v>767.33770079604017</v>
      </c>
      <c r="D26">
        <v>15000</v>
      </c>
      <c r="E26" s="10">
        <v>0.35</v>
      </c>
    </row>
    <row r="27" spans="3:5" x14ac:dyDescent="0.45">
      <c r="C27" s="7">
        <v>952.70479830989802</v>
      </c>
      <c r="D27">
        <v>10000</v>
      </c>
      <c r="E27" s="10">
        <v>0.39999999999999997</v>
      </c>
    </row>
    <row r="28" spans="3:5" x14ac:dyDescent="0.45">
      <c r="C28" s="7">
        <v>1168.1244666749344</v>
      </c>
      <c r="D28">
        <v>5000</v>
      </c>
      <c r="E28" s="10">
        <v>0.44999999999999996</v>
      </c>
    </row>
    <row r="29" spans="3:5" x14ac:dyDescent="0.45">
      <c r="C29" s="7"/>
    </row>
    <row r="30" spans="3:5" x14ac:dyDescent="0.45">
      <c r="C30" t="str">
        <f>"text("&amp;ROUND(C19,0)&amp;", "&amp;D19&amp;", labels = """&amp;E19*100&amp;"%"", col = ESPAnnotationColor, cex = ESP_Eff_cex, font = 2, srt = 0, adj = 0)"</f>
        <v>text(20, 50000, labels = "0%", col = ESPAnnotationColor, cex = ESP_Eff_cex, font = 2, srt = 0, adj = 0)</v>
      </c>
      <c r="D30" t="str">
        <f>"lines(c("&amp;ROUND(C19,0)&amp;","&amp;ROUND(C19,0)&amp;"), c("&amp;D19&amp;",100000), col = ESPAnnotationColor, lwd = 2)"</f>
        <v>lines(c(20,20), c(50000,100000), col = ESPAnnotationColor, lwd = 2)</v>
      </c>
    </row>
    <row r="31" spans="3:5" x14ac:dyDescent="0.45">
      <c r="C31" t="str">
        <f t="shared" ref="C31:C39" si="3">"text("&amp;ROUND(C20,0)&amp;", "&amp;D20&amp;", labels = """&amp;E20*100&amp;"%"", col = ESPAnnotationColor, cex = ESP_Eff_cex, font = 2, srt = 0, adj = 0)"</f>
        <v>text(75, 45000, labels = "5%", col = ESPAnnotationColor, cex = ESP_Eff_cex, font = 2, srt = 0, adj = 0)</v>
      </c>
      <c r="D31" t="str">
        <f t="shared" ref="D31:D39" si="4">"lines(c("&amp;ROUND(C20,0)&amp;","&amp;ROUND(C20,0)&amp;"), c("&amp;D20&amp;",100000), col = ESPAnnotationColor, lwd = 2)"</f>
        <v>lines(c(75,75), c(45000,100000), col = ESPAnnotationColor, lwd = 2)</v>
      </c>
    </row>
    <row r="32" spans="3:5" x14ac:dyDescent="0.45">
      <c r="C32" t="str">
        <f t="shared" si="3"/>
        <v>text(159, 40000, labels = "10%", col = ESPAnnotationColor, cex = ESP_Eff_cex, font = 2, srt = 0, adj = 0)</v>
      </c>
      <c r="D32" t="str">
        <f t="shared" si="4"/>
        <v>lines(c(159,159), c(40000,100000), col = ESPAnnotationColor, lwd = 2)</v>
      </c>
    </row>
    <row r="33" spans="3:4" x14ac:dyDescent="0.45">
      <c r="C33" t="str">
        <f t="shared" si="3"/>
        <v>text(252, 35000, labels = "15%", col = ESPAnnotationColor, cex = ESP_Eff_cex, font = 2, srt = 0, adj = 0)</v>
      </c>
      <c r="D33" t="str">
        <f t="shared" si="4"/>
        <v>lines(c(252,252), c(35000,100000), col = ESPAnnotationColor, lwd = 2)</v>
      </c>
    </row>
    <row r="34" spans="3:4" x14ac:dyDescent="0.45">
      <c r="C34" t="str">
        <f t="shared" si="3"/>
        <v>text(357, 30000, labels = "20%", col = ESPAnnotationColor, cex = ESP_Eff_cex, font = 2, srt = 0, adj = 0)</v>
      </c>
      <c r="D34" t="str">
        <f t="shared" si="4"/>
        <v>lines(c(357,357), c(30000,100000), col = ESPAnnotationColor, lwd = 2)</v>
      </c>
    </row>
    <row r="35" spans="3:4" x14ac:dyDescent="0.45">
      <c r="C35" t="str">
        <f t="shared" si="3"/>
        <v>text(475, 25000, labels = "25%", col = ESPAnnotationColor, cex = ESP_Eff_cex, font = 2, srt = 0, adj = 0)</v>
      </c>
      <c r="D35" t="str">
        <f t="shared" si="4"/>
        <v>lines(c(475,475), c(25000,100000), col = ESPAnnotationColor, lwd = 2)</v>
      </c>
    </row>
    <row r="36" spans="3:4" x14ac:dyDescent="0.45">
      <c r="C36" t="str">
        <f t="shared" si="3"/>
        <v>text(611, 20000, labels = "30%", col = ESPAnnotationColor, cex = ESP_Eff_cex, font = 2, srt = 0, adj = 0)</v>
      </c>
      <c r="D36" t="str">
        <f t="shared" si="4"/>
        <v>lines(c(611,611), c(20000,100000), col = ESPAnnotationColor, lwd = 2)</v>
      </c>
    </row>
    <row r="37" spans="3:4" x14ac:dyDescent="0.45">
      <c r="C37" t="str">
        <f t="shared" si="3"/>
        <v>text(767, 15000, labels = "35%", col = ESPAnnotationColor, cex = ESP_Eff_cex, font = 2, srt = 0, adj = 0)</v>
      </c>
      <c r="D37" t="str">
        <f t="shared" si="4"/>
        <v>lines(c(767,767), c(15000,100000), col = ESPAnnotationColor, lwd = 2)</v>
      </c>
    </row>
    <row r="38" spans="3:4" x14ac:dyDescent="0.45">
      <c r="C38" t="str">
        <f t="shared" si="3"/>
        <v>text(953, 10000, labels = "40%", col = ESPAnnotationColor, cex = ESP_Eff_cex, font = 2, srt = 0, adj = 0)</v>
      </c>
      <c r="D38" t="str">
        <f t="shared" si="4"/>
        <v>lines(c(953,953), c(10000,100000), col = ESPAnnotationColor, lwd = 2)</v>
      </c>
    </row>
    <row r="39" spans="3:4" x14ac:dyDescent="0.45">
      <c r="C39" t="str">
        <f t="shared" si="3"/>
        <v>text(1168, 5000, labels = "45%", col = ESPAnnotationColor, cex = ESP_Eff_cex, font = 2, srt = 0, adj = 0)</v>
      </c>
      <c r="D39" t="str">
        <f t="shared" si="4"/>
        <v>lines(c(1168,1168), c(5000,100000), col = ESPAnnotationColor, lwd = 2)</v>
      </c>
    </row>
    <row r="40" spans="3:4" x14ac:dyDescent="0.45">
      <c r="D40" t="str">
        <f>"lines(c(1,"&amp;ROUND(C19,0)&amp;"), c("&amp;D19&amp;","&amp;D19&amp;"), col = ESPAnnotationColor, lwd = 2, lty = 3)"</f>
        <v>lines(c(1,20), c(50000,50000), col = ESPAnnotationColor, lwd = 2, lty = 3)</v>
      </c>
    </row>
    <row r="41" spans="3:4" x14ac:dyDescent="0.45">
      <c r="D41" t="str">
        <f t="shared" ref="D41:D49" si="5">"lines(c(1,"&amp;ROUND(C20,0)&amp;"), c("&amp;D20&amp;","&amp;D20&amp;"), col = ESPAnnotationColor, lwd = 2, lty = 3)"</f>
        <v>lines(c(1,75), c(45000,45000), col = ESPAnnotationColor, lwd = 2, lty = 3)</v>
      </c>
    </row>
    <row r="42" spans="3:4" x14ac:dyDescent="0.45">
      <c r="D42" t="str">
        <f t="shared" si="5"/>
        <v>lines(c(1,159), c(40000,40000), col = ESPAnnotationColor, lwd = 2, lty = 3)</v>
      </c>
    </row>
    <row r="43" spans="3:4" x14ac:dyDescent="0.45">
      <c r="D43" t="str">
        <f t="shared" si="5"/>
        <v>lines(c(1,252), c(35000,35000), col = ESPAnnotationColor, lwd = 2, lty = 3)</v>
      </c>
    </row>
    <row r="44" spans="3:4" x14ac:dyDescent="0.45">
      <c r="D44" t="str">
        <f t="shared" si="5"/>
        <v>lines(c(1,357), c(30000,30000), col = ESPAnnotationColor, lwd = 2, lty = 3)</v>
      </c>
    </row>
    <row r="45" spans="3:4" x14ac:dyDescent="0.45">
      <c r="D45" t="str">
        <f t="shared" si="5"/>
        <v>lines(c(1,475), c(25000,25000), col = ESPAnnotationColor, lwd = 2, lty = 3)</v>
      </c>
    </row>
    <row r="46" spans="3:4" x14ac:dyDescent="0.45">
      <c r="D46" t="str">
        <f t="shared" si="5"/>
        <v>lines(c(1,611), c(20000,20000), col = ESPAnnotationColor, lwd = 2, lty = 3)</v>
      </c>
    </row>
    <row r="47" spans="3:4" x14ac:dyDescent="0.45">
      <c r="D47" t="str">
        <f t="shared" si="5"/>
        <v>lines(c(1,767), c(15000,15000), col = ESPAnnotationColor, lwd = 2, lty = 3)</v>
      </c>
    </row>
    <row r="48" spans="3:4" x14ac:dyDescent="0.45">
      <c r="D48" t="str">
        <f t="shared" si="5"/>
        <v>lines(c(1,953), c(10000,10000), col = ESPAnnotationColor, lwd = 2, lty = 3)</v>
      </c>
    </row>
    <row r="49" spans="4:4" x14ac:dyDescent="0.45">
      <c r="D49" t="str">
        <f t="shared" si="5"/>
        <v>lines(c(1,1168), c(5000,5000), col = ESPAnnotationColor, lwd = 2, lty = 3)</v>
      </c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BD32-710F-413B-B834-FFAD0BB2E854}">
  <sheetPr codeName="Sheet3"/>
  <dimension ref="A1:Q178"/>
  <sheetViews>
    <sheetView topLeftCell="A7" workbookViewId="0">
      <selection activeCell="C26" sqref="C26:N170"/>
    </sheetView>
  </sheetViews>
  <sheetFormatPr defaultRowHeight="17.5" x14ac:dyDescent="0.45"/>
  <cols>
    <col min="3" max="4" width="10.2109375" customWidth="1"/>
    <col min="5" max="14" width="13.42578125" customWidth="1"/>
  </cols>
  <sheetData>
    <row r="1" spans="1:17" x14ac:dyDescent="0.45">
      <c r="B1" t="s">
        <v>53</v>
      </c>
      <c r="C1">
        <f>155+459.67</f>
        <v>614.67000000000007</v>
      </c>
      <c r="D1" t="s">
        <v>52</v>
      </c>
      <c r="F1" t="s">
        <v>59</v>
      </c>
      <c r="G1" s="12" cm="1">
        <f t="array" ref="G1">_xll.Gas.ReynoldsNumber($C$2, 1000000, I4, 0.001)</f>
        <v>5921263.1578947371</v>
      </c>
      <c r="I1" s="4" t="s">
        <v>104</v>
      </c>
      <c r="J1">
        <v>4200</v>
      </c>
      <c r="K1" t="s">
        <v>19</v>
      </c>
      <c r="M1" t="s">
        <v>106</v>
      </c>
      <c r="N1">
        <v>67</v>
      </c>
      <c r="O1" t="s">
        <v>84</v>
      </c>
      <c r="Q1" s="1"/>
    </row>
    <row r="2" spans="1:17" x14ac:dyDescent="0.45">
      <c r="B2" t="s">
        <v>51</v>
      </c>
      <c r="C2">
        <v>0.7</v>
      </c>
      <c r="F2" t="s">
        <v>60</v>
      </c>
      <c r="G2" s="14" cm="1">
        <f t="array" ref="G2">_xll.FrictionFactor(G1, 0.0006)</f>
        <v>4.3701234736755823E-3</v>
      </c>
      <c r="I2" t="s">
        <v>105</v>
      </c>
      <c r="J2">
        <v>60</v>
      </c>
      <c r="K2" t="s">
        <v>38</v>
      </c>
      <c r="N2" s="1">
        <f>20.4*J2^0.25</f>
        <v>56.776416747760301</v>
      </c>
    </row>
    <row r="4" spans="1:17" x14ac:dyDescent="0.45">
      <c r="D4" t="s">
        <v>54</v>
      </c>
      <c r="E4" s="11">
        <v>1.25</v>
      </c>
      <c r="F4" s="11">
        <v>1.5</v>
      </c>
      <c r="G4" s="11">
        <v>1.75</v>
      </c>
      <c r="H4" s="11">
        <v>1.9</v>
      </c>
      <c r="I4" s="11">
        <f>2+(3/8)</f>
        <v>2.375</v>
      </c>
      <c r="J4" s="11">
        <f>2+(7/8)</f>
        <v>2.875</v>
      </c>
      <c r="K4" s="11">
        <v>3.5</v>
      </c>
      <c r="L4" s="11">
        <v>4.5</v>
      </c>
      <c r="M4" s="11">
        <v>5.5</v>
      </c>
      <c r="N4" s="11">
        <v>7</v>
      </c>
    </row>
    <row r="5" spans="1:17" x14ac:dyDescent="0.45">
      <c r="D5" t="s">
        <v>55</v>
      </c>
      <c r="E5" s="3">
        <f t="shared" ref="E5:N5" si="0">(PI()/4)*(E$4/12)^2</f>
        <v>8.5221154882535628E-3</v>
      </c>
      <c r="F5" s="3">
        <f t="shared" si="0"/>
        <v>1.2271846303085129E-2</v>
      </c>
      <c r="G5" s="3">
        <f t="shared" si="0"/>
        <v>1.6703346356976984E-2</v>
      </c>
      <c r="H5" s="3">
        <f t="shared" si="0"/>
        <v>1.968949562406103E-2</v>
      </c>
      <c r="I5" s="3">
        <f t="shared" si="0"/>
        <v>3.0764836912595357E-2</v>
      </c>
      <c r="J5" s="3">
        <f t="shared" si="0"/>
        <v>4.5081990932861346E-2</v>
      </c>
      <c r="K5" s="3">
        <f t="shared" si="0"/>
        <v>6.6813385427907934E-2</v>
      </c>
      <c r="L5" s="3">
        <f t="shared" si="0"/>
        <v>0.11044661672776616</v>
      </c>
      <c r="M5" s="3">
        <f t="shared" si="0"/>
        <v>0.16498815585258894</v>
      </c>
      <c r="N5" s="3">
        <f t="shared" si="0"/>
        <v>0.26725354171163174</v>
      </c>
    </row>
    <row r="6" spans="1:17" x14ac:dyDescent="0.45">
      <c r="E6" t="s">
        <v>56</v>
      </c>
      <c r="F6" s="3"/>
      <c r="G6" s="3"/>
      <c r="H6" s="3"/>
      <c r="I6" s="3"/>
      <c r="J6" s="3"/>
      <c r="K6" s="3"/>
      <c r="L6" s="3"/>
      <c r="M6" s="3"/>
      <c r="N6" s="3"/>
    </row>
    <row r="7" spans="1:17" x14ac:dyDescent="0.45">
      <c r="A7" t="s">
        <v>57</v>
      </c>
      <c r="C7" t="s">
        <v>49</v>
      </c>
      <c r="D7" t="s">
        <v>50</v>
      </c>
      <c r="E7" t="str">
        <f t="shared" ref="E7:N7" si="1">$E$6&amp;" "&amp;E$4</f>
        <v>qg[scf] 1.25</v>
      </c>
      <c r="F7" t="str">
        <f t="shared" si="1"/>
        <v>qg[scf] 1.5</v>
      </c>
      <c r="G7" t="str">
        <f t="shared" si="1"/>
        <v>qg[scf] 1.75</v>
      </c>
      <c r="H7" t="str">
        <f t="shared" si="1"/>
        <v>qg[scf] 1.9</v>
      </c>
      <c r="I7" t="str">
        <f t="shared" si="1"/>
        <v>qg[scf] 2.375</v>
      </c>
      <c r="J7" t="str">
        <f t="shared" si="1"/>
        <v>qg[scf] 2.875</v>
      </c>
      <c r="K7" t="str">
        <f t="shared" si="1"/>
        <v>qg[scf] 3.5</v>
      </c>
      <c r="L7" t="str">
        <f t="shared" si="1"/>
        <v>qg[scf] 4.5</v>
      </c>
      <c r="M7" t="str">
        <f t="shared" si="1"/>
        <v>qg[scf] 5.5</v>
      </c>
      <c r="N7" t="str">
        <f t="shared" si="1"/>
        <v>qg[scf] 7</v>
      </c>
      <c r="P7" t="s">
        <v>58</v>
      </c>
    </row>
    <row r="8" spans="1:17" x14ac:dyDescent="0.45">
      <c r="A8">
        <v>50</v>
      </c>
      <c r="B8" t="str">
        <f>A8&amp;" "&amp;$A$7</f>
        <v>50 psig</v>
      </c>
      <c r="C8" s="1">
        <f>14.7+A8</f>
        <v>64.7</v>
      </c>
      <c r="D8" s="1" cm="1">
        <f t="array" ref="D8">_xll.Turner.GasVelocityWater($C$2, $C8, $C$1)</f>
        <v>35.91990341487552</v>
      </c>
      <c r="E8" s="13" cm="1">
        <f t="array" ref="E8">_xll.Turner.GasRateStd($D8, E$5, $C8, $C$1, $C$2)*1000000</f>
        <v>99416.829849313406</v>
      </c>
      <c r="F8" s="13" cm="1">
        <f t="array" ref="F8">_xll.Turner.GasRateStd($D8, F$5, $C8, $C$1, $C$2)*1000000</f>
        <v>143160.23498301129</v>
      </c>
      <c r="G8" s="13" cm="1">
        <f t="array" ref="G8">_xll.Turner.GasRateStd($D8, G$5, $C8, $C$1, $C$2)*1000000</f>
        <v>194856.98650465431</v>
      </c>
      <c r="H8" s="13" cm="1">
        <f t="array" ref="H8">_xll.Turner.GasRateStd($D8, H$5, $C8, $C$1, $C$2)*1000000</f>
        <v>229692.64368385368</v>
      </c>
      <c r="I8" s="13" cm="1">
        <f t="array" ref="I8">_xll.Turner.GasRateStd($D8, I$5, $C8, $C$1, $C$2)*1000000</f>
        <v>358894.75575602142</v>
      </c>
      <c r="J8" s="13" cm="1">
        <f t="array" ref="J8">_xll.Turner.GasRateStd($D8, J$5, $C8, $C$1, $C$2)*1000000</f>
        <v>525915.02990286786</v>
      </c>
      <c r="K8" s="13" cm="1">
        <f t="array" ref="K8">_xll.Turner.GasRateStd($D8, K$5, $C8, $C$1, $C$2)*1000000</f>
        <v>779427.94601861725</v>
      </c>
      <c r="L8" s="13" cm="1">
        <f t="array" ref="L8">_xll.Turner.GasRateStd($D8, L$5, $C8, $C$1, $C$2)*1000000</f>
        <v>1288442.114847102</v>
      </c>
      <c r="M8" s="13" cm="1">
        <f t="array" ref="M8">_xll.Turner.GasRateStd($D8, M$5, $C8, $C$1, $C$2)*1000000</f>
        <v>1924709.825882707</v>
      </c>
      <c r="N8" s="13" cm="1">
        <f t="array" ref="N8">_xll.Turner.GasRateStd($D8, N$5, $C8, $C$1, $C$2)*1000000</f>
        <v>3117711.784074469</v>
      </c>
      <c r="P8" s="1" cm="1">
        <f t="array" ref="P8">_xll.GasZKatz(C8, $C$1, $C$2)</f>
        <v>0.99175946750961697</v>
      </c>
    </row>
    <row r="9" spans="1:17" x14ac:dyDescent="0.45">
      <c r="A9">
        <v>100</v>
      </c>
      <c r="B9" t="str">
        <f t="shared" ref="B9:B16" si="2">A9&amp;" "&amp;$A$7</f>
        <v>100 psig</v>
      </c>
      <c r="C9" s="1">
        <f>14.7+A9</f>
        <v>114.7</v>
      </c>
      <c r="D9" s="1" cm="1">
        <f t="array" ref="D9">_xll.Turner.GasVelocityWater($C$2,$C9, $C$1)</f>
        <v>26.875632365303069</v>
      </c>
      <c r="E9" s="13" cm="1">
        <f t="array" ref="E9">_xll.Turner.GasRateStd($D9, E$5, $C9, $C$1, $C$2)*1000000</f>
        <v>132716.75446773472</v>
      </c>
      <c r="F9" s="13" cm="1">
        <f t="array" ref="F9">_xll.Turner.GasRateStd($D9, F$5, $C9, $C$1, $C$2)*1000000</f>
        <v>191112.12643353798</v>
      </c>
      <c r="G9" s="13" cm="1">
        <f t="array" ref="G9">_xll.Turner.GasRateStd($D9, G$5, $C9, $C$1, $C$2)*1000000</f>
        <v>260124.83875676006</v>
      </c>
      <c r="H9" s="13" cm="1">
        <f t="array" ref="H9">_xll.Turner.GasRateStd($D9, H$5, $C9, $C$1, $C$2)*1000000</f>
        <v>306628.78952225432</v>
      </c>
      <c r="I9" s="13" cm="1">
        <f t="array" ref="I9">_xll.Turner.GasRateStd($D9, I$5, $C9, $C$1, $C$2)*1000000</f>
        <v>479107.48362852226</v>
      </c>
      <c r="J9" s="13" cm="1">
        <f t="array" ref="J9">_xll.Turner.GasRateStd($D9, J$5, $C9, $C$1, $C$2)*1000000</f>
        <v>702071.63113431667</v>
      </c>
      <c r="K9" s="13" cm="1">
        <f t="array" ref="K9">_xll.Turner.GasRateStd($D9, K$5, $C9, $C$1, $C$2)*1000000</f>
        <v>1040499.3550270402</v>
      </c>
      <c r="L9" s="13" cm="1">
        <f t="array" ref="L9">_xll.Turner.GasRateStd($D9, L$5, $C9, $C$1, $C$2)*1000000</f>
        <v>1720009.1379018419</v>
      </c>
      <c r="M9" s="13" cm="1">
        <f t="array" ref="M9">_xll.Turner.GasRateStd($D9, M$5, $C9, $C$1, $C$2)*1000000</f>
        <v>2569396.3664953439</v>
      </c>
      <c r="N9" s="13" cm="1">
        <f t="array" ref="N9">_xll.Turner.GasRateStd($D9, N$5, $C9, $C$1, $C$2)*1000000</f>
        <v>4161997.4201081609</v>
      </c>
      <c r="P9" s="1" cm="1">
        <f t="array" ref="P9">_xll.GasZKatz(C9, $C$1, $C$2)</f>
        <v>0.98542410490188925</v>
      </c>
    </row>
    <row r="10" spans="1:17" x14ac:dyDescent="0.45">
      <c r="A10">
        <v>250</v>
      </c>
      <c r="B10" t="str">
        <f t="shared" si="2"/>
        <v>250 psig</v>
      </c>
      <c r="C10" s="1">
        <f>14.7+A10</f>
        <v>264.7</v>
      </c>
      <c r="D10" s="1" cm="1">
        <f t="array" ref="D10">_xll.Turner.GasVelocityWater($C$2,$C10, $C$1)</f>
        <v>17.490074999635318</v>
      </c>
      <c r="E10" s="13" cm="1">
        <f t="array" ref="E10">_xll.Turner.GasRateStd($D10, E$5, $C10, $C$1, $C$2)*1000000</f>
        <v>203195.3372119285</v>
      </c>
      <c r="F10" s="13" cm="1">
        <f t="array" ref="F10">_xll.Turner.GasRateStd($D10, F$5, $C10, $C$1, $C$2)*1000000</f>
        <v>292601.28558517707</v>
      </c>
      <c r="G10" s="13" cm="1">
        <f t="array" ref="G10">_xll.Turner.GasRateStd($D10, G$5, $C10, $C$1, $C$2)*1000000</f>
        <v>398262.86093537987</v>
      </c>
      <c r="H10" s="13" cm="1">
        <f t="array" ref="H10">_xll.Turner.GasRateStd($D10, H$5, $C10, $C$1, $C$2)*1000000</f>
        <v>469462.50709443953</v>
      </c>
      <c r="I10" s="13" cm="1">
        <f t="array" ref="I10">_xll.Turner.GasRateStd($D10, I$5, $C10, $C$1, $C$2)*1000000</f>
        <v>733535.16733506171</v>
      </c>
      <c r="J10" s="13" cm="1">
        <f t="array" ref="J10">_xll.Turner.GasRateStd($D10, J$5, $C10, $C$1, $C$2)*1000000</f>
        <v>1074903.3338511016</v>
      </c>
      <c r="K10" s="13" cm="1">
        <f t="array" ref="K10">_xll.Turner.GasRateStd($D10, K$5, $C10, $C$1, $C$2)*1000000</f>
        <v>1593051.4437415195</v>
      </c>
      <c r="L10" s="13" cm="1">
        <f t="array" ref="L10">_xll.Turner.GasRateStd($D10, L$5, $C10, $C$1, $C$2)*1000000</f>
        <v>2633411.5702665932</v>
      </c>
      <c r="M10" s="13" cm="1">
        <f t="array" ref="M10">_xll.Turner.GasRateStd($D10, M$5, $C10, $C$1, $C$2)*1000000</f>
        <v>3933861.7284229347</v>
      </c>
      <c r="N10" s="13" cm="1">
        <f t="array" ref="N10">_xll.Turner.GasRateStd($D10, N$5, $C10, $C$1, $C$2)*1000000</f>
        <v>6372205.7749660779</v>
      </c>
      <c r="P10" s="1" cm="1">
        <f t="array" ref="P10">_xll.GasZKatz(C10, $C$1, $C$2)</f>
        <v>0.96662650610239587</v>
      </c>
    </row>
    <row r="11" spans="1:17" x14ac:dyDescent="0.45">
      <c r="A11">
        <v>500</v>
      </c>
      <c r="B11" t="str">
        <f t="shared" si="2"/>
        <v>500 psig</v>
      </c>
      <c r="C11" s="1">
        <f>14.7+A11</f>
        <v>514.70000000000005</v>
      </c>
      <c r="D11" s="1" cm="1">
        <f t="array" ref="D11">_xll.Turner.GasVelocityWater($C$2,$C11, $C$1)</f>
        <v>12.304284290148324</v>
      </c>
      <c r="E11" s="13" cm="1">
        <f t="array" ref="E11">_xll.Turner.GasRateStd($D11, E$5, $C11, $C$1, $C$2)*1000000</f>
        <v>286981.42885047698</v>
      </c>
      <c r="F11" s="13" cm="1">
        <f t="array" ref="F11">_xll.Turner.GasRateStd($D11, F$5, $C11, $C$1, $C$2)*1000000</f>
        <v>413253.25754468678</v>
      </c>
      <c r="G11" s="13" cm="1">
        <f t="array" ref="G11">_xll.Turner.GasRateStd($D11, G$5, $C11, $C$1, $C$2)*1000000</f>
        <v>562483.60054693476</v>
      </c>
      <c r="H11" s="13" cm="1">
        <f t="array" ref="H11">_xll.Turner.GasRateStd($D11, H$5, $C11, $C$1, $C$2)*1000000</f>
        <v>663041.89321614185</v>
      </c>
      <c r="I11" s="13" cm="1">
        <f t="array" ref="I11">_xll.Turner.GasRateStd($D11, I$5, $C11, $C$1, $C$2)*1000000</f>
        <v>1036002.9581502217</v>
      </c>
      <c r="J11" s="13" cm="1">
        <f t="array" ref="J11">_xll.Turner.GasRateStd($D11, J$5, $C11, $C$1, $C$2)*1000000</f>
        <v>1518131.758619023</v>
      </c>
      <c r="K11" s="13" cm="1">
        <f t="array" ref="K11">_xll.Turner.GasRateStd($D11, K$5, $C11, $C$1, $C$2)*1000000</f>
        <v>2249934.402187739</v>
      </c>
      <c r="L11" s="13" cm="1">
        <f t="array" ref="L11">_xll.Turner.GasRateStd($D11, L$5, $C11, $C$1, $C$2)*1000000</f>
        <v>3719279.3179021808</v>
      </c>
      <c r="M11" s="13" cm="1">
        <f t="array" ref="M11">_xll.Turner.GasRateStd($D11, M$5, $C11, $C$1, $C$2)*1000000</f>
        <v>5555960.4625452328</v>
      </c>
      <c r="N11" s="13" cm="1">
        <f t="array" ref="N11">_xll.Turner.GasRateStd($D11, N$5, $C11, $C$1, $C$2)*1000000</f>
        <v>8999737.6087509561</v>
      </c>
      <c r="P11" s="1" cm="1">
        <f t="array" ref="P11">_xll.GasZKatz(C11, $C$1, $C$2)</f>
        <v>0.93623216206569781</v>
      </c>
    </row>
    <row r="12" spans="1:17" x14ac:dyDescent="0.45">
      <c r="A12">
        <v>1000</v>
      </c>
      <c r="B12" t="str">
        <f t="shared" si="2"/>
        <v>1000 psig</v>
      </c>
      <c r="C12" s="1">
        <f t="shared" ref="C12:C16" si="3">14.7+A12</f>
        <v>1014.7</v>
      </c>
      <c r="D12" s="1" cm="1">
        <f t="array" ref="D12">_xll.Turner.GasVelocityWater($C$2,$C12, $C$1)</f>
        <v>8.441382988553233</v>
      </c>
      <c r="E12" s="13" cm="1">
        <f t="array" ref="E12">_xll.Turner.GasRateStd($D12, E$5, $C12, $C$1, $C$2)*1000000</f>
        <v>412357.15094000922</v>
      </c>
      <c r="F12" s="13" cm="1">
        <f t="array" ref="F12">_xll.Turner.GasRateStd($D12, F$5, $C12, $C$1, $C$2)*1000000</f>
        <v>593794.29735361319</v>
      </c>
      <c r="G12" s="13" cm="1">
        <f t="array" ref="G12">_xll.Turner.GasRateStd($D12, G$5, $C12, $C$1, $C$2)*1000000</f>
        <v>808220.01584241807</v>
      </c>
      <c r="H12" s="13" cm="1">
        <f t="array" ref="H12">_xll.Turner.GasRateStd($D12, H$5, $C12, $C$1, $C$2)*1000000</f>
        <v>952709.96153179719</v>
      </c>
      <c r="I12" s="13" cm="1">
        <f t="array" ref="I12">_xll.Turner.GasRateStd($D12, I$5, $C12, $C$1, $C$2)*1000000</f>
        <v>1488609.3148934331</v>
      </c>
      <c r="J12" s="13" cm="1">
        <f t="array" ref="J12">_xll.Turner.GasRateStd($D12, J$5, $C12, $C$1, $C$2)*1000000</f>
        <v>2181369.3284726483</v>
      </c>
      <c r="K12" s="13" cm="1">
        <f t="array" ref="K12">_xll.Turner.GasRateStd($D12, K$5, $C12, $C$1, $C$2)*1000000</f>
        <v>3232880.0633696723</v>
      </c>
      <c r="L12" s="13" cm="1">
        <f t="array" ref="L12">_xll.Turner.GasRateStd($D12, L$5, $C12, $C$1, $C$2)*1000000</f>
        <v>5344148.6761825196</v>
      </c>
      <c r="M12" s="13" cm="1">
        <f t="array" ref="M12">_xll.Turner.GasRateStd($D12, M$5, $C12, $C$1, $C$2)*1000000</f>
        <v>7983234.4421985755</v>
      </c>
      <c r="N12" s="13" cm="1">
        <f t="array" ref="N12">_xll.Turner.GasRateStd($D12, N$5, $C12, $C$1, $C$2)*1000000</f>
        <v>12931520.253478689</v>
      </c>
      <c r="P12" s="1" cm="1">
        <f t="array" ref="P12">_xll.GasZKatz(C12, $C$1, $C$2)</f>
        <v>0.88126101726391792</v>
      </c>
    </row>
    <row r="13" spans="1:17" x14ac:dyDescent="0.45">
      <c r="A13">
        <f t="shared" ref="A12:A19" si="4">A12+1000</f>
        <v>2000</v>
      </c>
      <c r="B13" t="str">
        <f t="shared" si="2"/>
        <v>2000 psig</v>
      </c>
      <c r="C13" s="1">
        <f t="shared" si="3"/>
        <v>2014.7</v>
      </c>
      <c r="D13" s="1" cm="1">
        <f t="array" ref="D13">_xll.Turner.GasVelocityWater($C$2,$C13, $C$1)</f>
        <v>5.6726424662875177</v>
      </c>
      <c r="E13" s="13" cm="1">
        <f t="array" ref="E13">_xll.Turner.GasRateStd($D13, E$5, $C13, $C$1, $C$2)*1000000</f>
        <v>593794.23767675622</v>
      </c>
      <c r="F13" s="13" cm="1">
        <f t="array" ref="F13">_xll.Turner.GasRateStd($D13, F$5, $C13, $C$1, $C$2)*1000000</f>
        <v>855063.70225452888</v>
      </c>
      <c r="G13" s="13" cm="1">
        <f t="array" ref="G13">_xll.Turner.GasRateStd($D13, G$5, $C13, $C$1, $C$2)*1000000</f>
        <v>1163836.7058464424</v>
      </c>
      <c r="H13" s="13" cm="1">
        <f t="array" ref="H13">_xll.Turner.GasRateStd($D13, H$5, $C13, $C$1, $C$2)*1000000</f>
        <v>1371902.2067283771</v>
      </c>
      <c r="I13" s="13" cm="1">
        <f t="array" ref="I13">_xll.Turner.GasRateStd($D13, I$5, $C13, $C$1, $C$2)*1000000</f>
        <v>2143597.1980130891</v>
      </c>
      <c r="J13" s="13" cm="1">
        <f t="array" ref="J13">_xll.Turner.GasRateStd($D13, J$5, $C13, $C$1, $C$2)*1000000</f>
        <v>3141171.5173100401</v>
      </c>
      <c r="K13" s="13" cm="1">
        <f t="array" ref="K13">_xll.Turner.GasRateStd($D13, K$5, $C13, $C$1, $C$2)*1000000</f>
        <v>4655346.8233857695</v>
      </c>
      <c r="L13" s="13" cm="1">
        <f t="array" ref="L13">_xll.Turner.GasRateStd($D13, L$5, $C13, $C$1, $C$2)*1000000</f>
        <v>7695573.3202907601</v>
      </c>
      <c r="M13" s="13" cm="1">
        <f t="array" ref="M13">_xll.Turner.GasRateStd($D13, M$5, $C13, $C$1, $C$2)*1000000</f>
        <v>11495856.441421995</v>
      </c>
      <c r="N13" s="13" cm="1">
        <f t="array" ref="N13">_xll.Turner.GasRateStd($D13, N$5, $C13, $C$1, $C$2)*1000000</f>
        <v>18621387.293543078</v>
      </c>
      <c r="P13" s="1" cm="1">
        <f t="array" ref="P13">_xll.GasZKatz(C13, $C$1, $C$2)</f>
        <v>0.81655725929256562</v>
      </c>
    </row>
    <row r="14" spans="1:17" x14ac:dyDescent="0.45">
      <c r="A14">
        <f t="shared" si="4"/>
        <v>3000</v>
      </c>
      <c r="B14" t="str">
        <f t="shared" si="2"/>
        <v>3000 psig</v>
      </c>
      <c r="C14" s="1">
        <f t="shared" si="3"/>
        <v>3014.7</v>
      </c>
      <c r="D14" s="1" cm="1">
        <f t="array" ref="D14">_xll.Turner.GasVelocityWater($C$2,$C14, $C$1)</f>
        <v>4.5979045350319527</v>
      </c>
      <c r="E14" s="13" cm="1">
        <f t="array" ref="E14">_xll.Turner.GasRateStd($D14, E$5, $C14, $C$1, $C$2)*1000000</f>
        <v>710076.57033731753</v>
      </c>
      <c r="F14" s="13" cm="1">
        <f t="array" ref="F14">_xll.Turner.GasRateStd($D14, F$5, $C14, $C$1, $C$2)*1000000</f>
        <v>1022510.261285737</v>
      </c>
      <c r="G14" s="13" cm="1">
        <f t="array" ref="G14">_xll.Turner.GasRateStd($D14, G$5, $C14, $C$1, $C$2)*1000000</f>
        <v>1391750.0778611423</v>
      </c>
      <c r="H14" s="13" cm="1">
        <f t="array" ref="H14">_xll.Turner.GasRateStd($D14, H$5, $C14, $C$1, $C$2)*1000000</f>
        <v>1640560.908107338</v>
      </c>
      <c r="I14" s="13" cm="1">
        <f t="array" ref="I14">_xll.Turner.GasRateStd($D14, I$5, $C14, $C$1, $C$2)*1000000</f>
        <v>2563376.4189177155</v>
      </c>
      <c r="J14" s="13" cm="1">
        <f t="array" ref="J14">_xll.Turner.GasRateStd($D14, J$5, $C14, $C$1, $C$2)*1000000</f>
        <v>3756305.0570844091</v>
      </c>
      <c r="K14" s="13" cm="1">
        <f t="array" ref="K14">_xll.Turner.GasRateStd($D14, K$5, $C14, $C$1, $C$2)*1000000</f>
        <v>5567000.3114445694</v>
      </c>
      <c r="L14" s="13" cm="1">
        <f t="array" ref="L14">_xll.Turner.GasRateStd($D14, L$5, $C14, $C$1, $C$2)*1000000</f>
        <v>9202592.3515716344</v>
      </c>
      <c r="M14" s="13" cm="1">
        <f t="array" ref="M14">_xll.Turner.GasRateStd($D14, M$5, $C14, $C$1, $C$2)*1000000</f>
        <v>13747082.401730465</v>
      </c>
      <c r="N14" s="13" cm="1">
        <f t="array" ref="N14">_xll.Turner.GasRateStd($D14, N$5, $C14, $C$1, $C$2)*1000000</f>
        <v>22268001.245778278</v>
      </c>
      <c r="P14" s="1" cm="1">
        <f t="array" ref="P14">_xll.GasZKatz(C14, $C$1, $C$2)</f>
        <v>0.82818181953104764</v>
      </c>
    </row>
    <row r="15" spans="1:17" x14ac:dyDescent="0.45">
      <c r="A15">
        <f t="shared" si="4"/>
        <v>4000</v>
      </c>
      <c r="B15" t="str">
        <f t="shared" si="2"/>
        <v>4000 psig</v>
      </c>
      <c r="C15" s="1">
        <f t="shared" si="3"/>
        <v>4014.7</v>
      </c>
      <c r="D15" s="1" cm="1">
        <f t="array" ref="D15">_xll.Turner.GasVelocityWater($C$2,$C15, $C$1)</f>
        <v>4.0769987272518602</v>
      </c>
      <c r="E15" s="13" cm="1">
        <f t="array" ref="E15">_xll.Turner.GasRateStd($D15, E$5, $C15, $C$1, $C$2)*1000000</f>
        <v>781281.20596174453</v>
      </c>
      <c r="F15" s="13" cm="1">
        <f t="array" ref="F15">_xll.Turner.GasRateStd($D15, F$5, $C15, $C$1, $C$2)*1000000</f>
        <v>1125044.9365849122</v>
      </c>
      <c r="G15" s="13" cm="1">
        <f t="array" ref="G15">_xll.Turner.GasRateStd($D15, G$5, $C15, $C$1, $C$2)*1000000</f>
        <v>1531311.1636850194</v>
      </c>
      <c r="H15" s="13" cm="1">
        <f t="array" ref="H15">_xll.Turner.GasRateStd($D15, H$5, $C15, $C$1, $C$2)*1000000</f>
        <v>1805072.0982540147</v>
      </c>
      <c r="I15" s="13" cm="1">
        <f t="array" ref="I15">_xll.Turner.GasRateStd($D15, I$5, $C15, $C$1, $C$2)*1000000</f>
        <v>2820425.1535218977</v>
      </c>
      <c r="J15" s="13" cm="1">
        <f t="array" ref="J15">_xll.Turner.GasRateStd($D15, J$5, $C15, $C$1, $C$2)*1000000</f>
        <v>4132977.5795376287</v>
      </c>
      <c r="K15" s="13" cm="1">
        <f t="array" ref="K15">_xll.Turner.GasRateStd($D15, K$5, $C15, $C$1, $C$2)*1000000</f>
        <v>6125244.6547400774</v>
      </c>
      <c r="L15" s="13" cm="1">
        <f t="array" ref="L15">_xll.Turner.GasRateStd($D15, L$5, $C15, $C$1, $C$2)*1000000</f>
        <v>10125404.429264208</v>
      </c>
      <c r="M15" s="13" cm="1">
        <f t="array" ref="M15">_xll.Turner.GasRateStd($D15, M$5, $C15, $C$1, $C$2)*1000000</f>
        <v>15125604.147419374</v>
      </c>
      <c r="N15" s="13" cm="1">
        <f t="array" ref="N15">_xll.Turner.GasRateStd($D15, N$5, $C15, $C$1, $C$2)*1000000</f>
        <v>24500978.61896031</v>
      </c>
      <c r="P15" s="1" cm="1">
        <f t="array" ref="P15">_xll.GasZKatz(C15, $C$1, $C$2)</f>
        <v>0.8888185730226652</v>
      </c>
    </row>
    <row r="16" spans="1:17" x14ac:dyDescent="0.45">
      <c r="A16">
        <f t="shared" si="4"/>
        <v>5000</v>
      </c>
      <c r="B16" t="str">
        <f t="shared" si="2"/>
        <v>5000 psig</v>
      </c>
      <c r="C16" s="1">
        <f t="shared" si="3"/>
        <v>5014.7</v>
      </c>
      <c r="D16" s="1" cm="1">
        <f t="array" ref="D16">_xll.Turner.GasVelocityWater($C$2,$C16, $C$1)</f>
        <v>3.779585021714305</v>
      </c>
      <c r="E16" s="13" cm="1">
        <f t="array" ref="E16">_xll.Turner.GasRateStd($D16, E$5, $C16, $C$1, $C$2)*1000000</f>
        <v>827032.79466858553</v>
      </c>
      <c r="F16" s="13" cm="1">
        <f t="array" ref="F16">_xll.Turner.GasRateStd($D16, F$5, $C16, $C$1, $C$2)*1000000</f>
        <v>1190927.224322763</v>
      </c>
      <c r="G16" s="13" cm="1">
        <f t="array" ref="G16">_xll.Turner.GasRateStd($D16, G$5, $C16, $C$1, $C$2)*1000000</f>
        <v>1620984.2775504275</v>
      </c>
      <c r="H16" s="13" cm="1">
        <f t="array" ref="H16">_xll.Turner.GasRateStd($D16, H$5, $C16, $C$1, $C$2)*1000000</f>
        <v>1910776.5688022997</v>
      </c>
      <c r="I16" s="13" cm="1">
        <f t="array" ref="I16">_xll.Turner.GasRateStd($D16, I$5, $C16, $C$1, $C$2)*1000000</f>
        <v>2985588.388753593</v>
      </c>
      <c r="J16" s="13" cm="1">
        <f t="array" ref="J16">_xll.Turner.GasRateStd($D16, J$5, $C16, $C$1, $C$2)*1000000</f>
        <v>4375003.4837968163</v>
      </c>
      <c r="K16" s="13" cm="1">
        <f t="array" ref="K16">_xll.Turner.GasRateStd($D16, K$5, $C16, $C$1, $C$2)*1000000</f>
        <v>6483937.1102017099</v>
      </c>
      <c r="L16" s="13" cm="1">
        <f t="array" ref="L16">_xll.Turner.GasRateStd($D16, L$5, $C16, $C$1, $C$2)*1000000</f>
        <v>10718345.018904869</v>
      </c>
      <c r="M16" s="13" cm="1">
        <f t="array" ref="M16">_xll.Turner.GasRateStd($D16, M$5, $C16, $C$1, $C$2)*1000000</f>
        <v>16011354.904783811</v>
      </c>
      <c r="N16" s="13" cm="1">
        <f t="array" ref="N16">_xll.Turner.GasRateStd($D16, N$5, $C16, $C$1, $C$2)*1000000</f>
        <v>25935748.44080684</v>
      </c>
      <c r="P16" s="1" cm="1">
        <f t="array" ref="P16">_xll.GasZKatz(C16, $C$1, $C$2)</f>
        <v>0.97228406832226244</v>
      </c>
    </row>
    <row r="17" spans="1:16" x14ac:dyDescent="0.45">
      <c r="A17">
        <f t="shared" si="4"/>
        <v>6000</v>
      </c>
      <c r="B17" t="str">
        <f t="shared" ref="B17:B19" si="5">A17&amp;" "&amp;$A$7</f>
        <v>6000 psig</v>
      </c>
      <c r="C17" s="1">
        <f t="shared" ref="C17:C19" si="6">14.7+A17</f>
        <v>6014.7</v>
      </c>
      <c r="D17" s="1" cm="1">
        <f t="array" ref="D17">_xll.Turner.GasVelocityWater($C$2,$C17, $C$1)</f>
        <v>3.587383395384713</v>
      </c>
      <c r="E17" s="13" cm="1">
        <f t="array" ref="E17">_xll.Turner.GasRateStd($D17, E$5, $C17, $C$1, $C$2)*1000000</f>
        <v>858618.40946158511</v>
      </c>
      <c r="F17" s="13" cm="1">
        <f t="array" ref="F17">_xll.Turner.GasRateStd($D17, F$5, $C17, $C$1, $C$2)*1000000</f>
        <v>1236410.5096246821</v>
      </c>
      <c r="G17" s="13" cm="1">
        <f t="array" ref="G17">_xll.Turner.GasRateStd($D17, G$5, $C17, $C$1, $C$2)*1000000</f>
        <v>1682892.0825447068</v>
      </c>
      <c r="H17" s="13" cm="1">
        <f t="array" ref="H17">_xll.Turner.GasRateStd($D17, H$5, $C17, $C$1, $C$2)*1000000</f>
        <v>1983751.9732200461</v>
      </c>
      <c r="I17" s="13" cm="1">
        <f t="array" ref="I17">_xll.Turner.GasRateStd($D17, I$5, $C17, $C$1, $C$2)*1000000</f>
        <v>3099612.4581563217</v>
      </c>
      <c r="J17" s="13" cm="1">
        <f t="array" ref="J17">_xll.Turner.GasRateStd($D17, J$5, $C17, $C$1, $C$2)*1000000</f>
        <v>4542091.3860517852</v>
      </c>
      <c r="K17" s="13" cm="1">
        <f t="array" ref="K17">_xll.Turner.GasRateStd($D17, K$5, $C17, $C$1, $C$2)*1000000</f>
        <v>6731568.330178827</v>
      </c>
      <c r="L17" s="13" cm="1">
        <f t="array" ref="L17">_xll.Turner.GasRateStd($D17, L$5, $C17, $C$1, $C$2)*1000000</f>
        <v>11127694.586622141</v>
      </c>
      <c r="M17" s="13" cm="1">
        <f t="array" ref="M17">_xll.Turner.GasRateStd($D17, M$5, $C17, $C$1, $C$2)*1000000</f>
        <v>16622852.407176282</v>
      </c>
      <c r="N17" s="13" cm="1">
        <f t="array" ref="N17">_xll.Turner.GasRateStd($D17, N$5, $C17, $C$1, $C$2)*1000000</f>
        <v>26926273.320715308</v>
      </c>
      <c r="P17" s="1" cm="1">
        <f t="array" ref="P17">_xll.GasZKatz(C17, $C$1, $C$2)</f>
        <v>1.0661502005188239</v>
      </c>
    </row>
    <row r="18" spans="1:16" x14ac:dyDescent="0.45">
      <c r="A18">
        <f t="shared" si="4"/>
        <v>7000</v>
      </c>
      <c r="B18" t="str">
        <f t="shared" si="5"/>
        <v>7000 psig</v>
      </c>
      <c r="C18" s="1">
        <f t="shared" si="6"/>
        <v>7014.7</v>
      </c>
      <c r="D18" s="1" cm="1">
        <f t="array" ref="D18">_xll.Turner.GasVelocityWater($C$2,$C18, $C$1)</f>
        <v>3.4514920396918525</v>
      </c>
      <c r="E18" s="13" cm="1">
        <f t="array" ref="E18">_xll.Turner.GasRateStd($D18, E$5, $C18, $C$1, $C$2)*1000000</f>
        <v>881872.51640465821</v>
      </c>
      <c r="F18" s="13" cm="1">
        <f t="array" ref="F18">_xll.Turner.GasRateStd($D18, F$5, $C18, $C$1, $C$2)*1000000</f>
        <v>1269896.4236227076</v>
      </c>
      <c r="G18" s="13" cm="1">
        <f t="array" ref="G18">_xll.Turner.GasRateStd($D18, G$5, $C18, $C$1, $C$2)*1000000</f>
        <v>1728470.1321531301</v>
      </c>
      <c r="H18" s="13" cm="1">
        <f t="array" ref="H18">_xll.Turner.GasRateStd($D18, H$5, $C18, $C$1, $C$2)*1000000</f>
        <v>2037478.2619013221</v>
      </c>
      <c r="I18" s="13" cm="1">
        <f t="array" ref="I18">_xll.Turner.GasRateStd($D18, I$5, $C18, $C$1, $C$2)*1000000</f>
        <v>3183559.7842208152</v>
      </c>
      <c r="J18" s="13" cm="1">
        <f t="array" ref="J18">_xll.Turner.GasRateStd($D18, J$5, $C18, $C$1, $C$2)*1000000</f>
        <v>4665105.6117806416</v>
      </c>
      <c r="K18" s="13" cm="1">
        <f t="array" ref="K18">_xll.Turner.GasRateStd($D18, K$5, $C18, $C$1, $C$2)*1000000</f>
        <v>6913880.5286125205</v>
      </c>
      <c r="L18" s="13" cm="1">
        <f t="array" ref="L18">_xll.Turner.GasRateStd($D18, L$5, $C18, $C$1, $C$2)*1000000</f>
        <v>11429067.81260437</v>
      </c>
      <c r="M18" s="13" cm="1">
        <f t="array" ref="M18">_xll.Turner.GasRateStd($D18, M$5, $C18, $C$1, $C$2)*1000000</f>
        <v>17073051.91759418</v>
      </c>
      <c r="N18" s="13" cm="1">
        <f t="array" ref="N18">_xll.Turner.GasRateStd($D18, N$5, $C18, $C$1, $C$2)*1000000</f>
        <v>27655522.114450082</v>
      </c>
      <c r="P18" s="1" cm="1">
        <f t="array" ref="P18">_xll.GasZKatz(C18, $C$1, $C$2)</f>
        <v>1.1647614672479181</v>
      </c>
    </row>
    <row r="19" spans="1:16" x14ac:dyDescent="0.45">
      <c r="A19">
        <f t="shared" si="4"/>
        <v>8000</v>
      </c>
      <c r="B19" t="str">
        <f t="shared" si="5"/>
        <v>8000 psig</v>
      </c>
      <c r="C19" s="1">
        <f t="shared" si="6"/>
        <v>8014.7</v>
      </c>
      <c r="D19" s="1" cm="1">
        <f t="array" ref="D19">_xll.Turner.GasVelocityWater($C$2,$C19, $C$1)</f>
        <v>3.3489712237373732</v>
      </c>
      <c r="E19" s="13" cm="1">
        <f t="array" ref="E19">_xll.Turner.GasRateStd($D19, E$5, $C19, $C$1, $C$2)*1000000</f>
        <v>899888.62670340121</v>
      </c>
      <c r="F19" s="13" cm="1">
        <f t="array" ref="F19">_xll.Turner.GasRateStd($D19, F$5, $C19, $C$1, $C$2)*1000000</f>
        <v>1295839.6224528977</v>
      </c>
      <c r="G19" s="13" cm="1">
        <f t="array" ref="G19">_xll.Turner.GasRateStd($D19, G$5, $C19, $C$1, $C$2)*1000000</f>
        <v>1763781.7083386662</v>
      </c>
      <c r="H19" s="13" cm="1">
        <f t="array" ref="H19">_xll.Turner.GasRateStd($D19, H$5, $C19, $C$1, $C$2)*1000000</f>
        <v>2079102.6831355377</v>
      </c>
      <c r="I19" s="13" cm="1">
        <f t="array" ref="I19">_xll.Turner.GasRateStd($D19, I$5, $C19, $C$1, $C$2)*1000000</f>
        <v>3248597.9423992774</v>
      </c>
      <c r="J19" s="13" cm="1">
        <f t="array" ref="J19">_xll.Turner.GasRateStd($D19, J$5, $C19, $C$1, $C$2)*1000000</f>
        <v>4760410.8352609919</v>
      </c>
      <c r="K19" s="13" cm="1">
        <f t="array" ref="K19">_xll.Turner.GasRateStd($D19, K$5, $C19, $C$1, $C$2)*1000000</f>
        <v>7055126.833354665</v>
      </c>
      <c r="L19" s="13" cm="1">
        <f t="array" ref="L19">_xll.Turner.GasRateStd($D19, L$5, $C19, $C$1, $C$2)*1000000</f>
        <v>11662556.602076076</v>
      </c>
      <c r="M19" s="13" cm="1">
        <f t="array" ref="M19">_xll.Turner.GasRateStd($D19, M$5, $C19, $C$1, $C$2)*1000000</f>
        <v>17421843.812977839</v>
      </c>
      <c r="N19" s="13" cm="1">
        <f t="array" ref="N19">_xll.Turner.GasRateStd($D19, N$5, $C19, $C$1, $C$2)*1000000</f>
        <v>28220507.33341866</v>
      </c>
      <c r="P19" s="1" cm="1">
        <f t="array" ref="P19">_xll.GasZKatz(C19, $C$1, $C$2)</f>
        <v>1.2654259850230625</v>
      </c>
    </row>
    <row r="20" spans="1:16" x14ac:dyDescent="0.45">
      <c r="C20" s="1"/>
      <c r="D20" s="1"/>
      <c r="G20" s="13"/>
      <c r="H20" s="13"/>
      <c r="I20" s="13"/>
      <c r="J20" s="13"/>
      <c r="K20" s="13"/>
      <c r="L20" s="13"/>
      <c r="M20" s="13"/>
      <c r="N20" s="13"/>
      <c r="O20" s="1"/>
      <c r="P20" s="1"/>
    </row>
    <row r="21" spans="1:16" x14ac:dyDescent="0.45">
      <c r="C21" s="1"/>
      <c r="D21" s="1"/>
      <c r="G21" s="13"/>
      <c r="H21" s="13"/>
      <c r="I21" s="13"/>
      <c r="J21" s="13"/>
      <c r="K21" s="13"/>
      <c r="L21" s="13"/>
      <c r="M21" s="13"/>
      <c r="N21" s="13"/>
      <c r="O21" s="1"/>
      <c r="P21" s="1"/>
    </row>
    <row r="22" spans="1:16" x14ac:dyDescent="0.45">
      <c r="C22" s="1"/>
      <c r="D22" s="1"/>
      <c r="G22" s="13"/>
      <c r="H22" s="13"/>
      <c r="I22" s="13"/>
      <c r="J22" s="13"/>
      <c r="K22" s="13"/>
      <c r="L22" s="13"/>
      <c r="M22" s="13"/>
      <c r="N22" s="13"/>
      <c r="O22" s="1"/>
      <c r="P22" s="1"/>
    </row>
    <row r="23" spans="1:16" x14ac:dyDescent="0.45">
      <c r="C23" s="1"/>
      <c r="D23" s="1"/>
      <c r="G23" s="13"/>
      <c r="H23" s="13"/>
      <c r="I23" s="13"/>
      <c r="J23" s="13"/>
      <c r="K23" s="13"/>
      <c r="L23" s="13"/>
      <c r="M23" s="13"/>
      <c r="N23" s="13"/>
      <c r="O23" s="1"/>
      <c r="P23" s="1"/>
    </row>
    <row r="24" spans="1:16" ht="18" thickBot="1" x14ac:dyDescent="0.5">
      <c r="C24" s="1"/>
      <c r="H24" s="13"/>
      <c r="I24" s="13"/>
      <c r="J24" s="13"/>
      <c r="K24" s="13"/>
      <c r="L24" s="13"/>
      <c r="M24" s="13"/>
      <c r="N24" s="13"/>
      <c r="O24" s="1"/>
      <c r="P24" s="1"/>
    </row>
    <row r="25" spans="1:16" ht="18" thickBot="1" x14ac:dyDescent="0.5">
      <c r="C25" s="34" t="s">
        <v>49</v>
      </c>
      <c r="D25" s="32" t="s">
        <v>107</v>
      </c>
      <c r="E25" s="13" t="s">
        <v>108</v>
      </c>
      <c r="F25" s="13" t="s">
        <v>109</v>
      </c>
      <c r="G25" s="13" t="s">
        <v>110</v>
      </c>
      <c r="H25" s="13" t="s">
        <v>111</v>
      </c>
      <c r="I25" s="13" t="s">
        <v>112</v>
      </c>
      <c r="J25" s="13" t="s">
        <v>113</v>
      </c>
      <c r="K25" s="13" t="s">
        <v>114</v>
      </c>
      <c r="L25" s="13" t="s">
        <v>115</v>
      </c>
      <c r="M25" s="13" t="s">
        <v>116</v>
      </c>
      <c r="N25" s="13" t="s">
        <v>117</v>
      </c>
      <c r="O25" s="1"/>
      <c r="P25" s="1"/>
    </row>
    <row r="26" spans="1:16" x14ac:dyDescent="0.45">
      <c r="C26" s="35">
        <f>C8</f>
        <v>64.7</v>
      </c>
      <c r="D26" s="31">
        <v>10</v>
      </c>
      <c r="E26" s="13" cm="1">
        <f t="array" ref="E26">(_xll.Turner.GasRateStd(_xll.Turner.GasVelocityWater($C$2, $C26, $C$1), E$5, $C26, $C$1, $C$2)*1000000)/$D26</f>
        <v>9941.6829849313399</v>
      </c>
      <c r="F26" s="13" cm="1">
        <f t="array" ref="F26">(_xll.Turner.GasRateStd(_xll.Turner.GasVelocityWater($C$2, $C26, $C$1), F$5, $C26, $C$1, $C$2)*1000000)/$D26</f>
        <v>14316.023498301129</v>
      </c>
      <c r="G26" s="13" cm="1">
        <f t="array" ref="G26">(_xll.Turner.GasRateStd(_xll.Turner.GasVelocityWater($C$2, $C26, $C$1), G$5, $C26, $C$1, $C$2)*1000000)/$D26</f>
        <v>19485.698650465431</v>
      </c>
      <c r="H26" s="13" cm="1">
        <f t="array" ref="H26">(_xll.Turner.GasRateStd(_xll.Turner.GasVelocityWater($C$2, $C26, $C$1), H$5, $C26, $C$1, $C$2)*1000000)/$D26</f>
        <v>22969.264368385368</v>
      </c>
      <c r="I26" s="13" cm="1">
        <f t="array" ref="I26">(_xll.Turner.GasRateStd(_xll.Turner.GasVelocityWater($C$2, $C26, $C$1), I$5, $C26, $C$1, $C$2)*1000000)/$D26</f>
        <v>35889.47557560214</v>
      </c>
      <c r="J26" s="13" cm="1">
        <f t="array" ref="J26">(_xll.Turner.GasRateStd(_xll.Turner.GasVelocityWater($C$2, $C26, $C$1), J$5, $C26, $C$1, $C$2)*1000000)/$D26</f>
        <v>52591.502990286783</v>
      </c>
      <c r="K26" s="13" cm="1">
        <f t="array" ref="K26">(_xll.Turner.GasRateStd(_xll.Turner.GasVelocityWater($C$2, $C26, $C$1), K$5, $C26, $C$1, $C$2)*1000000)/$D26</f>
        <v>77942.794601861722</v>
      </c>
      <c r="L26" s="13" cm="1">
        <f t="array" ref="L26">(_xll.Turner.GasRateStd(_xll.Turner.GasVelocityWater($C$2, $C26, $C$1), L$5, $C26, $C$1, $C$2)*1000000)/$D26</f>
        <v>128844.21148471019</v>
      </c>
      <c r="M26" s="13" cm="1">
        <f t="array" ref="M26">(_xll.Turner.GasRateStd(_xll.Turner.GasVelocityWater($C$2, $C26, $C$1), M$5, $C26, $C$1, $C$2)*1000000)/$D26</f>
        <v>192470.98258827071</v>
      </c>
      <c r="N26" s="13" cm="1">
        <f t="array" ref="N26">(_xll.Turner.GasRateStd(_xll.Turner.GasVelocityWater($C$2, $C26, $C$1), N$5, $C26, $C$1, $C$2)*1000000)/$D26</f>
        <v>311771.17840744689</v>
      </c>
      <c r="O26" s="1"/>
      <c r="P26" s="1"/>
    </row>
    <row r="27" spans="1:16" hidden="1" x14ac:dyDescent="0.45">
      <c r="C27" s="12">
        <f>C9</f>
        <v>114.7</v>
      </c>
      <c r="D27" s="31">
        <v>10</v>
      </c>
      <c r="E27" s="13" cm="1">
        <f t="array" ref="E27">(_xll.Turner.GasRateStd(_xll.Turner.GasVelocityWater($C$2, $C27, $C$1), E$5, $C27, $C$1, $C$2)*1000000)/$D27</f>
        <v>13271.675446773472</v>
      </c>
      <c r="F27" s="13" cm="1">
        <f t="array" ref="F27">(_xll.Turner.GasRateStd(_xll.Turner.GasVelocityWater($C$2, $C27, $C$1), F$5, $C27, $C$1, $C$2)*1000000)/$D27</f>
        <v>19111.2126433538</v>
      </c>
      <c r="G27" s="13" cm="1">
        <f t="array" ref="G27">(_xll.Turner.GasRateStd(_xll.Turner.GasVelocityWater($C$2, $C27, $C$1), G$5, $C27, $C$1, $C$2)*1000000)/$D27</f>
        <v>26012.483875676007</v>
      </c>
      <c r="H27" s="13" cm="1">
        <f t="array" ref="H27">(_xll.Turner.GasRateStd(_xll.Turner.GasVelocityWater($C$2, $C27, $C$1), H$5, $C27, $C$1, $C$2)*1000000)/$D27</f>
        <v>30662.87895222543</v>
      </c>
      <c r="I27" s="13" cm="1">
        <f t="array" ref="I27">(_xll.Turner.GasRateStd(_xll.Turner.GasVelocityWater($C$2, $C27, $C$1), I$5, $C27, $C$1, $C$2)*1000000)/$D27</f>
        <v>47910.748362852224</v>
      </c>
      <c r="J27" s="13" cm="1">
        <f t="array" ref="J27">(_xll.Turner.GasRateStd(_xll.Turner.GasVelocityWater($C$2, $C27, $C$1), J$5, $C27, $C$1, $C$2)*1000000)/$D27</f>
        <v>70207.16311343167</v>
      </c>
      <c r="K27" s="13" cm="1">
        <f t="array" ref="K27">(_xll.Turner.GasRateStd(_xll.Turner.GasVelocityWater($C$2, $C27, $C$1), K$5, $C27, $C$1, $C$2)*1000000)/$D27</f>
        <v>104049.93550270403</v>
      </c>
      <c r="L27" s="13" cm="1">
        <f t="array" ref="L27">(_xll.Turner.GasRateStd(_xll.Turner.GasVelocityWater($C$2, $C27, $C$1), L$5, $C27, $C$1, $C$2)*1000000)/$D27</f>
        <v>172000.91379018419</v>
      </c>
      <c r="M27" s="13" cm="1">
        <f t="array" ref="M27">(_xll.Turner.GasRateStd(_xll.Turner.GasVelocityWater($C$2, $C27, $C$1), M$5, $C27, $C$1, $C$2)*1000000)/$D27</f>
        <v>256939.6366495344</v>
      </c>
      <c r="N27" s="13" cm="1">
        <f t="array" ref="N27">(_xll.Turner.GasRateStd(_xll.Turner.GasVelocityWater($C$2, $C27, $C$1), N$5, $C27, $C$1, $C$2)*1000000)/$D27</f>
        <v>416199.74201081612</v>
      </c>
      <c r="O27" s="1"/>
      <c r="P27" s="1"/>
    </row>
    <row r="28" spans="1:16" hidden="1" x14ac:dyDescent="0.45">
      <c r="C28" s="35">
        <f>C10</f>
        <v>264.7</v>
      </c>
      <c r="D28" s="31">
        <v>10</v>
      </c>
      <c r="E28" s="13" cm="1">
        <f t="array" ref="E28">(_xll.Turner.GasRateStd(_xll.Turner.GasVelocityWater($C$2, $C28, $C$1), E$5, $C28, $C$1, $C$2)*1000000)/$D28</f>
        <v>20319.533721192849</v>
      </c>
      <c r="F28" s="13" cm="1">
        <f t="array" ref="F28">(_xll.Turner.GasRateStd(_xll.Turner.GasVelocityWater($C$2, $C28, $C$1), F$5, $C28, $C$1, $C$2)*1000000)/$D28</f>
        <v>29260.128558517707</v>
      </c>
      <c r="G28" s="13" cm="1">
        <f t="array" ref="G28">(_xll.Turner.GasRateStd(_xll.Turner.GasVelocityWater($C$2, $C28, $C$1), G$5, $C28, $C$1, $C$2)*1000000)/$D28</f>
        <v>39826.286093537987</v>
      </c>
      <c r="H28" s="13" cm="1">
        <f t="array" ref="H28">(_xll.Turner.GasRateStd(_xll.Turner.GasVelocityWater($C$2, $C28, $C$1), H$5, $C28, $C$1, $C$2)*1000000)/$D28</f>
        <v>46946.25070944395</v>
      </c>
      <c r="I28" s="13" cm="1">
        <f t="array" ref="I28">(_xll.Turner.GasRateStd(_xll.Turner.GasVelocityWater($C$2, $C28, $C$1), I$5, $C28, $C$1, $C$2)*1000000)/$D28</f>
        <v>73353.516733506171</v>
      </c>
      <c r="J28" s="13" cm="1">
        <f t="array" ref="J28">(_xll.Turner.GasRateStd(_xll.Turner.GasVelocityWater($C$2, $C28, $C$1), J$5, $C28, $C$1, $C$2)*1000000)/$D28</f>
        <v>107490.33338511016</v>
      </c>
      <c r="K28" s="13" cm="1">
        <f t="array" ref="K28">(_xll.Turner.GasRateStd(_xll.Turner.GasVelocityWater($C$2, $C28, $C$1), K$5, $C28, $C$1, $C$2)*1000000)/$D28</f>
        <v>159305.14437415195</v>
      </c>
      <c r="L28" s="13" cm="1">
        <f t="array" ref="L28">(_xll.Turner.GasRateStd(_xll.Turner.GasVelocityWater($C$2, $C28, $C$1), L$5, $C28, $C$1, $C$2)*1000000)/$D28</f>
        <v>263341.15702665935</v>
      </c>
      <c r="M28" s="13" cm="1">
        <f t="array" ref="M28">(_xll.Turner.GasRateStd(_xll.Turner.GasVelocityWater($C$2, $C28, $C$1), M$5, $C28, $C$1, $C$2)*1000000)/$D28</f>
        <v>393386.17284229345</v>
      </c>
      <c r="N28" s="13" cm="1">
        <f t="array" ref="N28">(_xll.Turner.GasRateStd(_xll.Turner.GasVelocityWater($C$2, $C28, $C$1), N$5, $C28, $C$1, $C$2)*1000000)/$D28</f>
        <v>637220.57749660779</v>
      </c>
      <c r="O28" s="1"/>
      <c r="P28" s="1"/>
    </row>
    <row r="29" spans="1:16" hidden="1" x14ac:dyDescent="0.45">
      <c r="C29" s="12">
        <f>C11</f>
        <v>514.70000000000005</v>
      </c>
      <c r="D29" s="31">
        <v>10</v>
      </c>
      <c r="E29" s="13" cm="1">
        <f t="array" ref="E29">(_xll.Turner.GasRateStd(_xll.Turner.GasVelocityWater($C$2, $C29, $C$1), E$5, $C29, $C$1, $C$2)*1000000)/$D29</f>
        <v>28698.142885047699</v>
      </c>
      <c r="F29" s="13" cm="1">
        <f t="array" ref="F29">(_xll.Turner.GasRateStd(_xll.Turner.GasVelocityWater($C$2, $C29, $C$1), F$5, $C29, $C$1, $C$2)*1000000)/$D29</f>
        <v>41325.325754468678</v>
      </c>
      <c r="G29" s="13" cm="1">
        <f t="array" ref="G29">(_xll.Turner.GasRateStd(_xll.Turner.GasVelocityWater($C$2, $C29, $C$1), G$5, $C29, $C$1, $C$2)*1000000)/$D29</f>
        <v>56248.360054693476</v>
      </c>
      <c r="H29" s="13" cm="1">
        <f t="array" ref="H29">(_xll.Turner.GasRateStd(_xll.Turner.GasVelocityWater($C$2, $C29, $C$1), H$5, $C29, $C$1, $C$2)*1000000)/$D29</f>
        <v>66304.189321614191</v>
      </c>
      <c r="I29" s="13" cm="1">
        <f t="array" ref="I29">(_xll.Turner.GasRateStd(_xll.Turner.GasVelocityWater($C$2, $C29, $C$1), I$5, $C29, $C$1, $C$2)*1000000)/$D29</f>
        <v>103600.29581502217</v>
      </c>
      <c r="J29" s="13" cm="1">
        <f t="array" ref="J29">(_xll.Turner.GasRateStd(_xll.Turner.GasVelocityWater($C$2, $C29, $C$1), J$5, $C29, $C$1, $C$2)*1000000)/$D29</f>
        <v>151813.1758619023</v>
      </c>
      <c r="K29" s="13" cm="1">
        <f t="array" ref="K29">(_xll.Turner.GasRateStd(_xll.Turner.GasVelocityWater($C$2, $C29, $C$1), K$5, $C29, $C$1, $C$2)*1000000)/$D29</f>
        <v>224993.4402187739</v>
      </c>
      <c r="L29" s="13" cm="1">
        <f t="array" ref="L29">(_xll.Turner.GasRateStd(_xll.Turner.GasVelocityWater($C$2, $C29, $C$1), L$5, $C29, $C$1, $C$2)*1000000)/$D29</f>
        <v>371927.93179021811</v>
      </c>
      <c r="M29" s="13" cm="1">
        <f t="array" ref="M29">(_xll.Turner.GasRateStd(_xll.Turner.GasVelocityWater($C$2, $C29, $C$1), M$5, $C29, $C$1, $C$2)*1000000)/$D29</f>
        <v>555596.04625452333</v>
      </c>
      <c r="N29" s="13" cm="1">
        <f t="array" ref="N29">(_xll.Turner.GasRateStd(_xll.Turner.GasVelocityWater($C$2, $C29, $C$1), N$5, $C29, $C$1, $C$2)*1000000)/$D29</f>
        <v>899973.76087509561</v>
      </c>
      <c r="O29" s="1"/>
    </row>
    <row r="30" spans="1:16" hidden="1" x14ac:dyDescent="0.45">
      <c r="C30" s="35">
        <f>C12</f>
        <v>1014.7</v>
      </c>
      <c r="D30" s="31">
        <v>10</v>
      </c>
      <c r="E30" s="13" cm="1">
        <f t="array" ref="E30">(_xll.Turner.GasRateStd(_xll.Turner.GasVelocityWater($C$2, $C30, $C$1), E$5, $C30, $C$1, $C$2)*1000000)/$D30</f>
        <v>41235.715094000923</v>
      </c>
      <c r="F30" s="13" cm="1">
        <f t="array" ref="F30">(_xll.Turner.GasRateStd(_xll.Turner.GasVelocityWater($C$2, $C30, $C$1), F$5, $C30, $C$1, $C$2)*1000000)/$D30</f>
        <v>59379.429735361322</v>
      </c>
      <c r="G30" s="13" cm="1">
        <f t="array" ref="G30">(_xll.Turner.GasRateStd(_xll.Turner.GasVelocityWater($C$2, $C30, $C$1), G$5, $C30, $C$1, $C$2)*1000000)/$D30</f>
        <v>80822.001584241807</v>
      </c>
      <c r="H30" s="13" cm="1">
        <f t="array" ref="H30">(_xll.Turner.GasRateStd(_xll.Turner.GasVelocityWater($C$2, $C30, $C$1), H$5, $C30, $C$1, $C$2)*1000000)/$D30</f>
        <v>95270.996153179716</v>
      </c>
      <c r="I30" s="13" cm="1">
        <f t="array" ref="I30">(_xll.Turner.GasRateStd(_xll.Turner.GasVelocityWater($C$2, $C30, $C$1), I$5, $C30, $C$1, $C$2)*1000000)/$D30</f>
        <v>148860.93148934332</v>
      </c>
      <c r="J30" s="13" cm="1">
        <f t="array" ref="J30">(_xll.Turner.GasRateStd(_xll.Turner.GasVelocityWater($C$2, $C30, $C$1), J$5, $C30, $C$1, $C$2)*1000000)/$D30</f>
        <v>218136.93284726483</v>
      </c>
      <c r="K30" s="13" cm="1">
        <f t="array" ref="K30">(_xll.Turner.GasRateStd(_xll.Turner.GasVelocityWater($C$2, $C30, $C$1), K$5, $C30, $C$1, $C$2)*1000000)/$D30</f>
        <v>323288.00633696723</v>
      </c>
      <c r="L30" s="13" cm="1">
        <f t="array" ref="L30">(_xll.Turner.GasRateStd(_xll.Turner.GasVelocityWater($C$2, $C30, $C$1), L$5, $C30, $C$1, $C$2)*1000000)/$D30</f>
        <v>534414.86761825194</v>
      </c>
      <c r="M30" s="13" cm="1">
        <f t="array" ref="M30">(_xll.Turner.GasRateStd(_xll.Turner.GasVelocityWater($C$2, $C30, $C$1), M$5, $C30, $C$1, $C$2)*1000000)/$D30</f>
        <v>798323.44421985757</v>
      </c>
      <c r="N30" s="13" cm="1">
        <f t="array" ref="N30">(_xll.Turner.GasRateStd(_xll.Turner.GasVelocityWater($C$2, $C30, $C$1), N$5, $C30, $C$1, $C$2)*1000000)/$D30</f>
        <v>1293152.0253478689</v>
      </c>
      <c r="O30" s="1"/>
    </row>
    <row r="31" spans="1:16" hidden="1" x14ac:dyDescent="0.45">
      <c r="C31" s="12">
        <f>C13</f>
        <v>2014.7</v>
      </c>
      <c r="D31" s="31">
        <v>10</v>
      </c>
      <c r="E31" s="13" cm="1">
        <f t="array" ref="E31">(_xll.Turner.GasRateStd(_xll.Turner.GasVelocityWater($C$2, $C31, $C$1), E$5, $C31, $C$1, $C$2)*1000000)/$D31</f>
        <v>59379.423767675624</v>
      </c>
      <c r="F31" s="13" cm="1">
        <f t="array" ref="F31">(_xll.Turner.GasRateStd(_xll.Turner.GasVelocityWater($C$2, $C31, $C$1), F$5, $C31, $C$1, $C$2)*1000000)/$D31</f>
        <v>85506.370225452891</v>
      </c>
      <c r="G31" s="13" cm="1">
        <f t="array" ref="G31">(_xll.Turner.GasRateStd(_xll.Turner.GasVelocityWater($C$2, $C31, $C$1), G$5, $C31, $C$1, $C$2)*1000000)/$D31</f>
        <v>116383.67058464423</v>
      </c>
      <c r="H31" s="13" cm="1">
        <f t="array" ref="H31">(_xll.Turner.GasRateStd(_xll.Turner.GasVelocityWater($C$2, $C31, $C$1), H$5, $C31, $C$1, $C$2)*1000000)/$D31</f>
        <v>137190.22067283772</v>
      </c>
      <c r="I31" s="13" cm="1">
        <f t="array" ref="I31">(_xll.Turner.GasRateStd(_xll.Turner.GasVelocityWater($C$2, $C31, $C$1), I$5, $C31, $C$1, $C$2)*1000000)/$D31</f>
        <v>214359.71980130891</v>
      </c>
      <c r="J31" s="13" cm="1">
        <f t="array" ref="J31">(_xll.Turner.GasRateStd(_xll.Turner.GasVelocityWater($C$2, $C31, $C$1), J$5, $C31, $C$1, $C$2)*1000000)/$D31</f>
        <v>314117.15173100401</v>
      </c>
      <c r="K31" s="13" cm="1">
        <f t="array" ref="K31">(_xll.Turner.GasRateStd(_xll.Turner.GasVelocityWater($C$2, $C31, $C$1), K$5, $C31, $C$1, $C$2)*1000000)/$D31</f>
        <v>465534.68233857694</v>
      </c>
      <c r="L31" s="13" cm="1">
        <f t="array" ref="L31">(_xll.Turner.GasRateStd(_xll.Turner.GasVelocityWater($C$2, $C31, $C$1), L$5, $C31, $C$1, $C$2)*1000000)/$D31</f>
        <v>769557.33202907606</v>
      </c>
      <c r="M31" s="13" cm="1">
        <f t="array" ref="M31">(_xll.Turner.GasRateStd(_xll.Turner.GasVelocityWater($C$2, $C31, $C$1), M$5, $C31, $C$1, $C$2)*1000000)/$D31</f>
        <v>1149585.6441421995</v>
      </c>
      <c r="N31" s="13" cm="1">
        <f t="array" ref="N31">(_xll.Turner.GasRateStd(_xll.Turner.GasVelocityWater($C$2, $C31, $C$1), N$5, $C31, $C$1, $C$2)*1000000)/$D31</f>
        <v>1862138.7293543078</v>
      </c>
      <c r="O31" s="1"/>
    </row>
    <row r="32" spans="1:16" hidden="1" x14ac:dyDescent="0.45">
      <c r="C32" s="35">
        <f>C14</f>
        <v>3014.7</v>
      </c>
      <c r="D32" s="31">
        <v>10</v>
      </c>
      <c r="E32" s="13" cm="1">
        <f t="array" ref="E32">(_xll.Turner.GasRateStd(_xll.Turner.GasVelocityWater($C$2, $C32, $C$1), E$5, $C32, $C$1, $C$2)*1000000)/$D32</f>
        <v>71007.657033731753</v>
      </c>
      <c r="F32" s="13" cm="1">
        <f t="array" ref="F32">(_xll.Turner.GasRateStd(_xll.Turner.GasVelocityWater($C$2, $C32, $C$1), F$5, $C32, $C$1, $C$2)*1000000)/$D32</f>
        <v>102251.02612857371</v>
      </c>
      <c r="G32" s="13" cm="1">
        <f t="array" ref="G32">(_xll.Turner.GasRateStd(_xll.Turner.GasVelocityWater($C$2, $C32, $C$1), G$5, $C32, $C$1, $C$2)*1000000)/$D32</f>
        <v>139175.00778611423</v>
      </c>
      <c r="H32" s="13" cm="1">
        <f t="array" ref="H32">(_xll.Turner.GasRateStd(_xll.Turner.GasVelocityWater($C$2, $C32, $C$1), H$5, $C32, $C$1, $C$2)*1000000)/$D32</f>
        <v>164056.09081073379</v>
      </c>
      <c r="I32" s="13" cm="1">
        <f t="array" ref="I32">(_xll.Turner.GasRateStd(_xll.Turner.GasVelocityWater($C$2, $C32, $C$1), I$5, $C32, $C$1, $C$2)*1000000)/$D32</f>
        <v>256337.64189177155</v>
      </c>
      <c r="J32" s="13" cm="1">
        <f t="array" ref="J32">(_xll.Turner.GasRateStd(_xll.Turner.GasVelocityWater($C$2, $C32, $C$1), J$5, $C32, $C$1, $C$2)*1000000)/$D32</f>
        <v>375630.50570844091</v>
      </c>
      <c r="K32" s="13" cm="1">
        <f t="array" ref="K32">(_xll.Turner.GasRateStd(_xll.Turner.GasVelocityWater($C$2, $C32, $C$1), K$5, $C32, $C$1, $C$2)*1000000)/$D32</f>
        <v>556700.03114445694</v>
      </c>
      <c r="L32" s="13" cm="1">
        <f t="array" ref="L32">(_xll.Turner.GasRateStd(_xll.Turner.GasVelocityWater($C$2, $C32, $C$1), L$5, $C32, $C$1, $C$2)*1000000)/$D32</f>
        <v>920259.23515716346</v>
      </c>
      <c r="M32" s="13" cm="1">
        <f t="array" ref="M32">(_xll.Turner.GasRateStd(_xll.Turner.GasVelocityWater($C$2, $C32, $C$1), M$5, $C32, $C$1, $C$2)*1000000)/$D32</f>
        <v>1374708.2401730465</v>
      </c>
      <c r="N32" s="13" cm="1">
        <f t="array" ref="N32">(_xll.Turner.GasRateStd(_xll.Turner.GasVelocityWater($C$2, $C32, $C$1), N$5, $C32, $C$1, $C$2)*1000000)/$D32</f>
        <v>2226800.1245778278</v>
      </c>
      <c r="O32" s="1"/>
    </row>
    <row r="33" spans="3:15" hidden="1" x14ac:dyDescent="0.45">
      <c r="C33" s="12">
        <f>C15</f>
        <v>4014.7</v>
      </c>
      <c r="D33" s="31">
        <v>10</v>
      </c>
      <c r="E33" s="13" cm="1">
        <f t="array" ref="E33">(_xll.Turner.GasRateStd(_xll.Turner.GasVelocityWater($C$2, $C33, $C$1), E$5, $C33, $C$1, $C$2)*1000000)/$D33</f>
        <v>78128.120596174456</v>
      </c>
      <c r="F33" s="13" cm="1">
        <f t="array" ref="F33">(_xll.Turner.GasRateStd(_xll.Turner.GasVelocityWater($C$2, $C33, $C$1), F$5, $C33, $C$1, $C$2)*1000000)/$D33</f>
        <v>112504.49365849122</v>
      </c>
      <c r="G33" s="13" cm="1">
        <f t="array" ref="G33">(_xll.Turner.GasRateStd(_xll.Turner.GasVelocityWater($C$2, $C33, $C$1), G$5, $C33, $C$1, $C$2)*1000000)/$D33</f>
        <v>153131.11636850194</v>
      </c>
      <c r="H33" s="13" cm="1">
        <f t="array" ref="H33">(_xll.Turner.GasRateStd(_xll.Turner.GasVelocityWater($C$2, $C33, $C$1), H$5, $C33, $C$1, $C$2)*1000000)/$D33</f>
        <v>180507.20982540149</v>
      </c>
      <c r="I33" s="13" cm="1">
        <f t="array" ref="I33">(_xll.Turner.GasRateStd(_xll.Turner.GasVelocityWater($C$2, $C33, $C$1), I$5, $C33, $C$1, $C$2)*1000000)/$D33</f>
        <v>282042.51535218977</v>
      </c>
      <c r="J33" s="13" cm="1">
        <f t="array" ref="J33">(_xll.Turner.GasRateStd(_xll.Turner.GasVelocityWater($C$2, $C33, $C$1), J$5, $C33, $C$1, $C$2)*1000000)/$D33</f>
        <v>413297.75795376289</v>
      </c>
      <c r="K33" s="13" cm="1">
        <f t="array" ref="K33">(_xll.Turner.GasRateStd(_xll.Turner.GasVelocityWater($C$2, $C33, $C$1), K$5, $C33, $C$1, $C$2)*1000000)/$D33</f>
        <v>612524.46547400777</v>
      </c>
      <c r="L33" s="13" cm="1">
        <f t="array" ref="L33">(_xll.Turner.GasRateStd(_xll.Turner.GasVelocityWater($C$2, $C33, $C$1), L$5, $C33, $C$1, $C$2)*1000000)/$D33</f>
        <v>1012540.4429264208</v>
      </c>
      <c r="M33" s="13" cm="1">
        <f t="array" ref="M33">(_xll.Turner.GasRateStd(_xll.Turner.GasVelocityWater($C$2, $C33, $C$1), M$5, $C33, $C$1, $C$2)*1000000)/$D33</f>
        <v>1512560.4147419375</v>
      </c>
      <c r="N33" s="13" cm="1">
        <f t="array" ref="N33">(_xll.Turner.GasRateStd(_xll.Turner.GasVelocityWater($C$2, $C33, $C$1), N$5, $C33, $C$1, $C$2)*1000000)/$D33</f>
        <v>2450097.8618960311</v>
      </c>
      <c r="O33" s="1"/>
    </row>
    <row r="34" spans="3:15" hidden="1" x14ac:dyDescent="0.45">
      <c r="C34" s="35">
        <f>C16</f>
        <v>5014.7</v>
      </c>
      <c r="D34" s="31">
        <v>10</v>
      </c>
      <c r="E34" s="13" cm="1">
        <f t="array" ref="E34">(_xll.Turner.GasRateStd(_xll.Turner.GasVelocityWater($C$2, $C34, $C$1), E$5, $C34, $C$1, $C$2)*1000000)/$D34</f>
        <v>82703.279466858556</v>
      </c>
      <c r="F34" s="13" cm="1">
        <f t="array" ref="F34">(_xll.Turner.GasRateStd(_xll.Turner.GasVelocityWater($C$2, $C34, $C$1), F$5, $C34, $C$1, $C$2)*1000000)/$D34</f>
        <v>119092.72243227631</v>
      </c>
      <c r="G34" s="13" cm="1">
        <f t="array" ref="G34">(_xll.Turner.GasRateStd(_xll.Turner.GasVelocityWater($C$2, $C34, $C$1), G$5, $C34, $C$1, $C$2)*1000000)/$D34</f>
        <v>162098.42775504274</v>
      </c>
      <c r="H34" s="13" cm="1">
        <f t="array" ref="H34">(_xll.Turner.GasRateStd(_xll.Turner.GasVelocityWater($C$2, $C34, $C$1), H$5, $C34, $C$1, $C$2)*1000000)/$D34</f>
        <v>191077.65688022997</v>
      </c>
      <c r="I34" s="13" cm="1">
        <f t="array" ref="I34">(_xll.Turner.GasRateStd(_xll.Turner.GasVelocityWater($C$2, $C34, $C$1), I$5, $C34, $C$1, $C$2)*1000000)/$D34</f>
        <v>298558.83887535927</v>
      </c>
      <c r="J34" s="13" cm="1">
        <f t="array" ref="J34">(_xll.Turner.GasRateStd(_xll.Turner.GasVelocityWater($C$2, $C34, $C$1), J$5, $C34, $C$1, $C$2)*1000000)/$D34</f>
        <v>437500.34837968164</v>
      </c>
      <c r="K34" s="13" cm="1">
        <f t="array" ref="K34">(_xll.Turner.GasRateStd(_xll.Turner.GasVelocityWater($C$2, $C34, $C$1), K$5, $C34, $C$1, $C$2)*1000000)/$D34</f>
        <v>648393.71102017094</v>
      </c>
      <c r="L34" s="13" cm="1">
        <f t="array" ref="L34">(_xll.Turner.GasRateStd(_xll.Turner.GasVelocityWater($C$2, $C34, $C$1), L$5, $C34, $C$1, $C$2)*1000000)/$D34</f>
        <v>1071834.5018904868</v>
      </c>
      <c r="M34" s="13" cm="1">
        <f t="array" ref="M34">(_xll.Turner.GasRateStd(_xll.Turner.GasVelocityWater($C$2, $C34, $C$1), M$5, $C34, $C$1, $C$2)*1000000)/$D34</f>
        <v>1601135.490478381</v>
      </c>
      <c r="N34" s="13" cm="1">
        <f t="array" ref="N34">(_xll.Turner.GasRateStd(_xll.Turner.GasVelocityWater($C$2, $C34, $C$1), N$5, $C34, $C$1, $C$2)*1000000)/$D34</f>
        <v>2593574.8440806838</v>
      </c>
      <c r="O34" s="1"/>
    </row>
    <row r="35" spans="3:15" x14ac:dyDescent="0.45">
      <c r="C35" s="12">
        <f t="shared" ref="C35:C62" si="7">C26</f>
        <v>64.7</v>
      </c>
      <c r="D35" s="31">
        <v>50</v>
      </c>
      <c r="E35" s="13" cm="1">
        <f t="array" ref="E35">(_xll.Turner.GasRateStd(_xll.Turner.GasVelocityWater($C$2, $C35, $C$1), E$5, $C35, $C$1, $C$2)*1000000)/$D35</f>
        <v>1988.3365969862682</v>
      </c>
      <c r="F35" s="13" cm="1">
        <f t="array" ref="F35">(_xll.Turner.GasRateStd(_xll.Turner.GasVelocityWater($C$2, $C35, $C$1), F$5, $C35, $C$1, $C$2)*1000000)/$D35</f>
        <v>2863.2046996602257</v>
      </c>
      <c r="G35" s="13" cm="1">
        <f t="array" ref="G35">(_xll.Turner.GasRateStd(_xll.Turner.GasVelocityWater($C$2, $C35, $C$1), G$5, $C35, $C$1, $C$2)*1000000)/$D35</f>
        <v>3897.1397300930862</v>
      </c>
      <c r="H35" s="13" cm="1">
        <f t="array" ref="H35">(_xll.Turner.GasRateStd(_xll.Turner.GasVelocityWater($C$2, $C35, $C$1), H$5, $C35, $C$1, $C$2)*1000000)/$D35</f>
        <v>4593.8528736770731</v>
      </c>
      <c r="I35" s="13" cm="1">
        <f t="array" ref="I35">(_xll.Turner.GasRateStd(_xll.Turner.GasVelocityWater($C$2, $C35, $C$1), I$5, $C35, $C$1, $C$2)*1000000)/$D35</f>
        <v>7177.8951151204283</v>
      </c>
      <c r="J35" s="13" cm="1">
        <f t="array" ref="J35">(_xll.Turner.GasRateStd(_xll.Turner.GasVelocityWater($C$2, $C35, $C$1), J$5, $C35, $C$1, $C$2)*1000000)/$D35</f>
        <v>10518.300598057358</v>
      </c>
      <c r="K35" s="13" cm="1">
        <f t="array" ref="K35">(_xll.Turner.GasRateStd(_xll.Turner.GasVelocityWater($C$2, $C35, $C$1), K$5, $C35, $C$1, $C$2)*1000000)/$D35</f>
        <v>15588.558920372345</v>
      </c>
      <c r="L35" s="13" cm="1">
        <f t="array" ref="L35">(_xll.Turner.GasRateStd(_xll.Turner.GasVelocityWater($C$2, $C35, $C$1), L$5, $C35, $C$1, $C$2)*1000000)/$D35</f>
        <v>25768.842296942039</v>
      </c>
      <c r="M35" s="13" cm="1">
        <f t="array" ref="M35">(_xll.Turner.GasRateStd(_xll.Turner.GasVelocityWater($C$2, $C35, $C$1), M$5, $C35, $C$1, $C$2)*1000000)/$D35</f>
        <v>38494.196517654142</v>
      </c>
      <c r="N35" s="13" cm="1">
        <f t="array" ref="N35">(_xll.Turner.GasRateStd(_xll.Turner.GasVelocityWater($C$2, $C35, $C$1), N$5, $C35, $C$1, $C$2)*1000000)/$D35</f>
        <v>62354.235681489379</v>
      </c>
      <c r="O35" s="1"/>
    </row>
    <row r="36" spans="3:15" hidden="1" x14ac:dyDescent="0.45">
      <c r="C36" s="35">
        <f t="shared" si="7"/>
        <v>114.7</v>
      </c>
      <c r="D36" s="31">
        <v>50</v>
      </c>
      <c r="E36" s="13" cm="1">
        <f t="array" ref="E36">(_xll.Turner.GasRateStd(_xll.Turner.GasVelocityWater($C$2, $C36, $C$1), E$5, $C36, $C$1, $C$2)*1000000)/$D36</f>
        <v>2654.3350893546944</v>
      </c>
      <c r="F36" s="13" cm="1">
        <f t="array" ref="F36">(_xll.Turner.GasRateStd(_xll.Turner.GasVelocityWater($C$2, $C36, $C$1), F$5, $C36, $C$1, $C$2)*1000000)/$D36</f>
        <v>3822.2425286707598</v>
      </c>
      <c r="G36" s="13" cm="1">
        <f t="array" ref="G36">(_xll.Turner.GasRateStd(_xll.Turner.GasVelocityWater($C$2, $C36, $C$1), G$5, $C36, $C$1, $C$2)*1000000)/$D36</f>
        <v>5202.4967751352015</v>
      </c>
      <c r="H36" s="13" cm="1">
        <f t="array" ref="H36">(_xll.Turner.GasRateStd(_xll.Turner.GasVelocityWater($C$2, $C36, $C$1), H$5, $C36, $C$1, $C$2)*1000000)/$D36</f>
        <v>6132.5757904450866</v>
      </c>
      <c r="I36" s="13" cm="1">
        <f t="array" ref="I36">(_xll.Turner.GasRateStd(_xll.Turner.GasVelocityWater($C$2, $C36, $C$1), I$5, $C36, $C$1, $C$2)*1000000)/$D36</f>
        <v>9582.1496725704455</v>
      </c>
      <c r="J36" s="13" cm="1">
        <f t="array" ref="J36">(_xll.Turner.GasRateStd(_xll.Turner.GasVelocityWater($C$2, $C36, $C$1), J$5, $C36, $C$1, $C$2)*1000000)/$D36</f>
        <v>14041.432622686334</v>
      </c>
      <c r="K36" s="13" cm="1">
        <f t="array" ref="K36">(_xll.Turner.GasRateStd(_xll.Turner.GasVelocityWater($C$2, $C36, $C$1), K$5, $C36, $C$1, $C$2)*1000000)/$D36</f>
        <v>20809.987100540806</v>
      </c>
      <c r="L36" s="13" cm="1">
        <f t="array" ref="L36">(_xll.Turner.GasRateStd(_xll.Turner.GasVelocityWater($C$2, $C36, $C$1), L$5, $C36, $C$1, $C$2)*1000000)/$D36</f>
        <v>34400.182758036841</v>
      </c>
      <c r="M36" s="13" cm="1">
        <f t="array" ref="M36">(_xll.Turner.GasRateStd(_xll.Turner.GasVelocityWater($C$2, $C36, $C$1), M$5, $C36, $C$1, $C$2)*1000000)/$D36</f>
        <v>51387.927329906874</v>
      </c>
      <c r="N36" s="13" cm="1">
        <f t="array" ref="N36">(_xll.Turner.GasRateStd(_xll.Turner.GasVelocityWater($C$2, $C36, $C$1), N$5, $C36, $C$1, $C$2)*1000000)/$D36</f>
        <v>83239.948402163223</v>
      </c>
      <c r="O36" s="1"/>
    </row>
    <row r="37" spans="3:15" hidden="1" x14ac:dyDescent="0.45">
      <c r="C37" s="12">
        <f t="shared" si="7"/>
        <v>264.7</v>
      </c>
      <c r="D37" s="31">
        <v>50</v>
      </c>
      <c r="E37" s="13" cm="1">
        <f t="array" ref="E37">(_xll.Turner.GasRateStd(_xll.Turner.GasVelocityWater($C$2, $C37, $C$1), E$5, $C37, $C$1, $C$2)*1000000)/$D37</f>
        <v>4063.9067442385699</v>
      </c>
      <c r="F37" s="13" cm="1">
        <f t="array" ref="F37">(_xll.Turner.GasRateStd(_xll.Turner.GasVelocityWater($C$2, $C37, $C$1), F$5, $C37, $C$1, $C$2)*1000000)/$D37</f>
        <v>5852.0257117035417</v>
      </c>
      <c r="G37" s="13" cm="1">
        <f t="array" ref="G37">(_xll.Turner.GasRateStd(_xll.Turner.GasVelocityWater($C$2, $C37, $C$1), G$5, $C37, $C$1, $C$2)*1000000)/$D37</f>
        <v>7965.2572187075975</v>
      </c>
      <c r="H37" s="13" cm="1">
        <f t="array" ref="H37">(_xll.Turner.GasRateStd(_xll.Turner.GasVelocityWater($C$2, $C37, $C$1), H$5, $C37, $C$1, $C$2)*1000000)/$D37</f>
        <v>9389.2501418887914</v>
      </c>
      <c r="I37" s="13" cm="1">
        <f t="array" ref="I37">(_xll.Turner.GasRateStd(_xll.Turner.GasVelocityWater($C$2, $C37, $C$1), I$5, $C37, $C$1, $C$2)*1000000)/$D37</f>
        <v>14670.703346701233</v>
      </c>
      <c r="J37" s="13" cm="1">
        <f t="array" ref="J37">(_xll.Turner.GasRateStd(_xll.Turner.GasVelocityWater($C$2, $C37, $C$1), J$5, $C37, $C$1, $C$2)*1000000)/$D37</f>
        <v>21498.06667702203</v>
      </c>
      <c r="K37" s="13" cm="1">
        <f t="array" ref="K37">(_xll.Turner.GasRateStd(_xll.Turner.GasVelocityWater($C$2, $C37, $C$1), K$5, $C37, $C$1, $C$2)*1000000)/$D37</f>
        <v>31861.02887483039</v>
      </c>
      <c r="L37" s="13" cm="1">
        <f t="array" ref="L37">(_xll.Turner.GasRateStd(_xll.Turner.GasVelocityWater($C$2, $C37, $C$1), L$5, $C37, $C$1, $C$2)*1000000)/$D37</f>
        <v>52668.231405331862</v>
      </c>
      <c r="M37" s="13" cm="1">
        <f t="array" ref="M37">(_xll.Turner.GasRateStd(_xll.Turner.GasVelocityWater($C$2, $C37, $C$1), M$5, $C37, $C$1, $C$2)*1000000)/$D37</f>
        <v>78677.234568458691</v>
      </c>
      <c r="N37" s="13" cm="1">
        <f t="array" ref="N37">(_xll.Turner.GasRateStd(_xll.Turner.GasVelocityWater($C$2, $C37, $C$1), N$5, $C37, $C$1, $C$2)*1000000)/$D37</f>
        <v>127444.11549932156</v>
      </c>
      <c r="O37" s="1"/>
    </row>
    <row r="38" spans="3:15" hidden="1" x14ac:dyDescent="0.45">
      <c r="C38" s="35">
        <f t="shared" si="7"/>
        <v>514.70000000000005</v>
      </c>
      <c r="D38" s="31">
        <v>50</v>
      </c>
      <c r="E38" s="13" cm="1">
        <f t="array" ref="E38">(_xll.Turner.GasRateStd(_xll.Turner.GasVelocityWater($C$2, $C38, $C$1), E$5, $C38, $C$1, $C$2)*1000000)/$D38</f>
        <v>5739.6285770095392</v>
      </c>
      <c r="F38" s="13" cm="1">
        <f t="array" ref="F38">(_xll.Turner.GasRateStd(_xll.Turner.GasVelocityWater($C$2, $C38, $C$1), F$5, $C38, $C$1, $C$2)*1000000)/$D38</f>
        <v>8265.0651508937353</v>
      </c>
      <c r="G38" s="13" cm="1">
        <f t="array" ref="G38">(_xll.Turner.GasRateStd(_xll.Turner.GasVelocityWater($C$2, $C38, $C$1), G$5, $C38, $C$1, $C$2)*1000000)/$D38</f>
        <v>11249.672010938695</v>
      </c>
      <c r="H38" s="13" cm="1">
        <f t="array" ref="H38">(_xll.Turner.GasRateStd(_xll.Turner.GasVelocityWater($C$2, $C38, $C$1), H$5, $C38, $C$1, $C$2)*1000000)/$D38</f>
        <v>13260.837864322837</v>
      </c>
      <c r="I38" s="13" cm="1">
        <f t="array" ref="I38">(_xll.Turner.GasRateStd(_xll.Turner.GasVelocityWater($C$2, $C38, $C$1), I$5, $C38, $C$1, $C$2)*1000000)/$D38</f>
        <v>20720.059163004436</v>
      </c>
      <c r="J38" s="13" cm="1">
        <f t="array" ref="J38">(_xll.Turner.GasRateStd(_xll.Turner.GasVelocityWater($C$2, $C38, $C$1), J$5, $C38, $C$1, $C$2)*1000000)/$D38</f>
        <v>30362.635172380462</v>
      </c>
      <c r="K38" s="13" cm="1">
        <f t="array" ref="K38">(_xll.Turner.GasRateStd(_xll.Turner.GasVelocityWater($C$2, $C38, $C$1), K$5, $C38, $C$1, $C$2)*1000000)/$D38</f>
        <v>44998.688043754781</v>
      </c>
      <c r="L38" s="13" cm="1">
        <f t="array" ref="L38">(_xll.Turner.GasRateStd(_xll.Turner.GasVelocityWater($C$2, $C38, $C$1), L$5, $C38, $C$1, $C$2)*1000000)/$D38</f>
        <v>74385.586358043613</v>
      </c>
      <c r="M38" s="13" cm="1">
        <f t="array" ref="M38">(_xll.Turner.GasRateStd(_xll.Turner.GasVelocityWater($C$2, $C38, $C$1), M$5, $C38, $C$1, $C$2)*1000000)/$D38</f>
        <v>111119.20925090466</v>
      </c>
      <c r="N38" s="13" cm="1">
        <f t="array" ref="N38">(_xll.Turner.GasRateStd(_xll.Turner.GasVelocityWater($C$2, $C38, $C$1), N$5, $C38, $C$1, $C$2)*1000000)/$D38</f>
        <v>179994.75217501912</v>
      </c>
      <c r="O38" s="1"/>
    </row>
    <row r="39" spans="3:15" hidden="1" x14ac:dyDescent="0.45">
      <c r="C39" s="12">
        <f t="shared" si="7"/>
        <v>1014.7</v>
      </c>
      <c r="D39" s="31">
        <v>50</v>
      </c>
      <c r="E39" s="13" cm="1">
        <f t="array" ref="E39">(_xll.Turner.GasRateStd(_xll.Turner.GasVelocityWater($C$2, $C39, $C$1), E$5, $C39, $C$1, $C$2)*1000000)/$D39</f>
        <v>8247.143018800185</v>
      </c>
      <c r="F39" s="13" cm="1">
        <f t="array" ref="F39">(_xll.Turner.GasRateStd(_xll.Turner.GasVelocityWater($C$2, $C39, $C$1), F$5, $C39, $C$1, $C$2)*1000000)/$D39</f>
        <v>11875.885947072264</v>
      </c>
      <c r="G39" s="13" cm="1">
        <f t="array" ref="G39">(_xll.Turner.GasRateStd(_xll.Turner.GasVelocityWater($C$2, $C39, $C$1), G$5, $C39, $C$1, $C$2)*1000000)/$D39</f>
        <v>16164.400316848361</v>
      </c>
      <c r="H39" s="13" cm="1">
        <f t="array" ref="H39">(_xll.Turner.GasRateStd(_xll.Turner.GasVelocityWater($C$2, $C39, $C$1), H$5, $C39, $C$1, $C$2)*1000000)/$D39</f>
        <v>19054.199230635943</v>
      </c>
      <c r="I39" s="13" cm="1">
        <f t="array" ref="I39">(_xll.Turner.GasRateStd(_xll.Turner.GasVelocityWater($C$2, $C39, $C$1), I$5, $C39, $C$1, $C$2)*1000000)/$D39</f>
        <v>29772.186297868662</v>
      </c>
      <c r="J39" s="13" cm="1">
        <f t="array" ref="J39">(_xll.Turner.GasRateStd(_xll.Turner.GasVelocityWater($C$2, $C39, $C$1), J$5, $C39, $C$1, $C$2)*1000000)/$D39</f>
        <v>43627.386569452967</v>
      </c>
      <c r="K39" s="13" cm="1">
        <f t="array" ref="K39">(_xll.Turner.GasRateStd(_xll.Turner.GasVelocityWater($C$2, $C39, $C$1), K$5, $C39, $C$1, $C$2)*1000000)/$D39</f>
        <v>64657.601267393446</v>
      </c>
      <c r="L39" s="13" cm="1">
        <f t="array" ref="L39">(_xll.Turner.GasRateStd(_xll.Turner.GasVelocityWater($C$2, $C39, $C$1), L$5, $C39, $C$1, $C$2)*1000000)/$D39</f>
        <v>106882.97352365039</v>
      </c>
      <c r="M39" s="13" cm="1">
        <f t="array" ref="M39">(_xll.Turner.GasRateStd(_xll.Turner.GasVelocityWater($C$2, $C39, $C$1), M$5, $C39, $C$1, $C$2)*1000000)/$D39</f>
        <v>159664.6888439715</v>
      </c>
      <c r="N39" s="13" cm="1">
        <f t="array" ref="N39">(_xll.Turner.GasRateStd(_xll.Turner.GasVelocityWater($C$2, $C39, $C$1), N$5, $C39, $C$1, $C$2)*1000000)/$D39</f>
        <v>258630.40506957378</v>
      </c>
      <c r="O39" s="1"/>
    </row>
    <row r="40" spans="3:15" hidden="1" x14ac:dyDescent="0.45">
      <c r="C40" s="35">
        <f t="shared" si="7"/>
        <v>2014.7</v>
      </c>
      <c r="D40" s="31">
        <v>50</v>
      </c>
      <c r="E40" s="13" cm="1">
        <f t="array" ref="E40">(_xll.Turner.GasRateStd(_xll.Turner.GasVelocityWater($C$2, $C40, $C$1), E$5, $C40, $C$1, $C$2)*1000000)/$D40</f>
        <v>11875.884753535125</v>
      </c>
      <c r="F40" s="13" cm="1">
        <f t="array" ref="F40">(_xll.Turner.GasRateStd(_xll.Turner.GasVelocityWater($C$2, $C40, $C$1), F$5, $C40, $C$1, $C$2)*1000000)/$D40</f>
        <v>17101.274045090577</v>
      </c>
      <c r="G40" s="13" cm="1">
        <f t="array" ref="G40">(_xll.Turner.GasRateStd(_xll.Turner.GasVelocityWater($C$2, $C40, $C$1), G$5, $C40, $C$1, $C$2)*1000000)/$D40</f>
        <v>23276.734116928848</v>
      </c>
      <c r="H40" s="13" cm="1">
        <f t="array" ref="H40">(_xll.Turner.GasRateStd(_xll.Turner.GasVelocityWater($C$2, $C40, $C$1), H$5, $C40, $C$1, $C$2)*1000000)/$D40</f>
        <v>27438.044134567543</v>
      </c>
      <c r="I40" s="13" cm="1">
        <f t="array" ref="I40">(_xll.Turner.GasRateStd(_xll.Turner.GasVelocityWater($C$2, $C40, $C$1), I$5, $C40, $C$1, $C$2)*1000000)/$D40</f>
        <v>42871.943960261786</v>
      </c>
      <c r="J40" s="13" cm="1">
        <f t="array" ref="J40">(_xll.Turner.GasRateStd(_xll.Turner.GasVelocityWater($C$2, $C40, $C$1), J$5, $C40, $C$1, $C$2)*1000000)/$D40</f>
        <v>62823.430346200803</v>
      </c>
      <c r="K40" s="13" cm="1">
        <f t="array" ref="K40">(_xll.Turner.GasRateStd(_xll.Turner.GasVelocityWater($C$2, $C40, $C$1), K$5, $C40, $C$1, $C$2)*1000000)/$D40</f>
        <v>93106.936467715394</v>
      </c>
      <c r="L40" s="13" cm="1">
        <f t="array" ref="L40">(_xll.Turner.GasRateStd(_xll.Turner.GasVelocityWater($C$2, $C40, $C$1), L$5, $C40, $C$1, $C$2)*1000000)/$D40</f>
        <v>153911.46640581521</v>
      </c>
      <c r="M40" s="13" cm="1">
        <f t="array" ref="M40">(_xll.Turner.GasRateStd(_xll.Turner.GasVelocityWater($C$2, $C40, $C$1), M$5, $C40, $C$1, $C$2)*1000000)/$D40</f>
        <v>229917.12882843989</v>
      </c>
      <c r="N40" s="13" cm="1">
        <f t="array" ref="N40">(_xll.Turner.GasRateStd(_xll.Turner.GasVelocityWater($C$2, $C40, $C$1), N$5, $C40, $C$1, $C$2)*1000000)/$D40</f>
        <v>372427.74587086157</v>
      </c>
      <c r="O40" s="1"/>
    </row>
    <row r="41" spans="3:15" hidden="1" x14ac:dyDescent="0.45">
      <c r="C41" s="12">
        <f t="shared" si="7"/>
        <v>3014.7</v>
      </c>
      <c r="D41" s="31">
        <v>50</v>
      </c>
      <c r="E41" s="13" cm="1">
        <f t="array" ref="E41">(_xll.Turner.GasRateStd(_xll.Turner.GasVelocityWater($C$2, $C41, $C$1), E$5, $C41, $C$1, $C$2)*1000000)/$D41</f>
        <v>14201.531406746351</v>
      </c>
      <c r="F41" s="13" cm="1">
        <f t="array" ref="F41">(_xll.Turner.GasRateStd(_xll.Turner.GasVelocityWater($C$2, $C41, $C$1), F$5, $C41, $C$1, $C$2)*1000000)/$D41</f>
        <v>20450.205225714741</v>
      </c>
      <c r="G41" s="13" cm="1">
        <f t="array" ref="G41">(_xll.Turner.GasRateStd(_xll.Turner.GasVelocityWater($C$2, $C41, $C$1), G$5, $C41, $C$1, $C$2)*1000000)/$D41</f>
        <v>27835.001557222848</v>
      </c>
      <c r="H41" s="13" cm="1">
        <f t="array" ref="H41">(_xll.Turner.GasRateStd(_xll.Turner.GasVelocityWater($C$2, $C41, $C$1), H$5, $C41, $C$1, $C$2)*1000000)/$D41</f>
        <v>32811.218162146761</v>
      </c>
      <c r="I41" s="13" cm="1">
        <f t="array" ref="I41">(_xll.Turner.GasRateStd(_xll.Turner.GasVelocityWater($C$2, $C41, $C$1), I$5, $C41, $C$1, $C$2)*1000000)/$D41</f>
        <v>51267.528378354313</v>
      </c>
      <c r="J41" s="13" cm="1">
        <f t="array" ref="J41">(_xll.Turner.GasRateStd(_xll.Turner.GasVelocityWater($C$2, $C41, $C$1), J$5, $C41, $C$1, $C$2)*1000000)/$D41</f>
        <v>75126.101141688181</v>
      </c>
      <c r="K41" s="13" cm="1">
        <f t="array" ref="K41">(_xll.Turner.GasRateStd(_xll.Turner.GasVelocityWater($C$2, $C41, $C$1), K$5, $C41, $C$1, $C$2)*1000000)/$D41</f>
        <v>111340.00622889139</v>
      </c>
      <c r="L41" s="13" cm="1">
        <f t="array" ref="L41">(_xll.Turner.GasRateStd(_xll.Turner.GasVelocityWater($C$2, $C41, $C$1), L$5, $C41, $C$1, $C$2)*1000000)/$D41</f>
        <v>184051.8470314327</v>
      </c>
      <c r="M41" s="13" cm="1">
        <f t="array" ref="M41">(_xll.Turner.GasRateStd(_xll.Turner.GasVelocityWater($C$2, $C41, $C$1), M$5, $C41, $C$1, $C$2)*1000000)/$D41</f>
        <v>274941.64803460927</v>
      </c>
      <c r="N41" s="13" cm="1">
        <f t="array" ref="N41">(_xll.Turner.GasRateStd(_xll.Turner.GasVelocityWater($C$2, $C41, $C$1), N$5, $C41, $C$1, $C$2)*1000000)/$D41</f>
        <v>445360.02491556556</v>
      </c>
      <c r="O41" s="1"/>
    </row>
    <row r="42" spans="3:15" hidden="1" x14ac:dyDescent="0.45">
      <c r="C42" s="35">
        <f t="shared" si="7"/>
        <v>4014.7</v>
      </c>
      <c r="D42" s="31">
        <v>50</v>
      </c>
      <c r="E42" s="13" cm="1">
        <f t="array" ref="E42">(_xll.Turner.GasRateStd(_xll.Turner.GasVelocityWater($C$2, $C42, $C$1), E$5, $C42, $C$1, $C$2)*1000000)/$D42</f>
        <v>15625.62411923489</v>
      </c>
      <c r="F42" s="13" cm="1">
        <f t="array" ref="F42">(_xll.Turner.GasRateStd(_xll.Turner.GasVelocityWater($C$2, $C42, $C$1), F$5, $C42, $C$1, $C$2)*1000000)/$D42</f>
        <v>22500.898731698246</v>
      </c>
      <c r="G42" s="13" cm="1">
        <f t="array" ref="G42">(_xll.Turner.GasRateStd(_xll.Turner.GasVelocityWater($C$2, $C42, $C$1), G$5, $C42, $C$1, $C$2)*1000000)/$D42</f>
        <v>30626.223273700387</v>
      </c>
      <c r="H42" s="13" cm="1">
        <f t="array" ref="H42">(_xll.Turner.GasRateStd(_xll.Turner.GasVelocityWater($C$2, $C42, $C$1), H$5, $C42, $C$1, $C$2)*1000000)/$D42</f>
        <v>36101.441965080296</v>
      </c>
      <c r="I42" s="13" cm="1">
        <f t="array" ref="I42">(_xll.Turner.GasRateStd(_xll.Turner.GasVelocityWater($C$2, $C42, $C$1), I$5, $C42, $C$1, $C$2)*1000000)/$D42</f>
        <v>56408.503070437953</v>
      </c>
      <c r="J42" s="13" cm="1">
        <f t="array" ref="J42">(_xll.Turner.GasRateStd(_xll.Turner.GasVelocityWater($C$2, $C42, $C$1), J$5, $C42, $C$1, $C$2)*1000000)/$D42</f>
        <v>82659.55159075257</v>
      </c>
      <c r="K42" s="13" cm="1">
        <f t="array" ref="K42">(_xll.Turner.GasRateStd(_xll.Turner.GasVelocityWater($C$2, $C42, $C$1), K$5, $C42, $C$1, $C$2)*1000000)/$D42</f>
        <v>122504.89309480155</v>
      </c>
      <c r="L42" s="13" cm="1">
        <f t="array" ref="L42">(_xll.Turner.GasRateStd(_xll.Turner.GasVelocityWater($C$2, $C42, $C$1), L$5, $C42, $C$1, $C$2)*1000000)/$D42</f>
        <v>202508.08858528416</v>
      </c>
      <c r="M42" s="13" cm="1">
        <f t="array" ref="M42">(_xll.Turner.GasRateStd(_xll.Turner.GasVelocityWater($C$2, $C42, $C$1), M$5, $C42, $C$1, $C$2)*1000000)/$D42</f>
        <v>302512.08294838748</v>
      </c>
      <c r="N42" s="13" cm="1">
        <f t="array" ref="N42">(_xll.Turner.GasRateStd(_xll.Turner.GasVelocityWater($C$2, $C42, $C$1), N$5, $C42, $C$1, $C$2)*1000000)/$D42</f>
        <v>490019.57237920619</v>
      </c>
      <c r="O42" s="1"/>
    </row>
    <row r="43" spans="3:15" hidden="1" x14ac:dyDescent="0.45">
      <c r="C43" s="12">
        <f t="shared" si="7"/>
        <v>5014.7</v>
      </c>
      <c r="D43" s="31">
        <v>50</v>
      </c>
      <c r="E43" s="13" cm="1">
        <f t="array" ref="E43">(_xll.Turner.GasRateStd(_xll.Turner.GasVelocityWater($C$2, $C43, $C$1), E$5, $C43, $C$1, $C$2)*1000000)/$D43</f>
        <v>16540.65589337171</v>
      </c>
      <c r="F43" s="13" cm="1">
        <f t="array" ref="F43">(_xll.Turner.GasRateStd(_xll.Turner.GasVelocityWater($C$2, $C43, $C$1), F$5, $C43, $C$1, $C$2)*1000000)/$D43</f>
        <v>23818.544486455259</v>
      </c>
      <c r="G43" s="13" cm="1">
        <f t="array" ref="G43">(_xll.Turner.GasRateStd(_xll.Turner.GasVelocityWater($C$2, $C43, $C$1), G$5, $C43, $C$1, $C$2)*1000000)/$D43</f>
        <v>32419.685551008548</v>
      </c>
      <c r="H43" s="13" cm="1">
        <f t="array" ref="H43">(_xll.Turner.GasRateStd(_xll.Turner.GasVelocityWater($C$2, $C43, $C$1), H$5, $C43, $C$1, $C$2)*1000000)/$D43</f>
        <v>38215.53137604599</v>
      </c>
      <c r="I43" s="13" cm="1">
        <f t="array" ref="I43">(_xll.Turner.GasRateStd(_xll.Turner.GasVelocityWater($C$2, $C43, $C$1), I$5, $C43, $C$1, $C$2)*1000000)/$D43</f>
        <v>59711.767775071858</v>
      </c>
      <c r="J43" s="13" cm="1">
        <f t="array" ref="J43">(_xll.Turner.GasRateStd(_xll.Turner.GasVelocityWater($C$2, $C43, $C$1), J$5, $C43, $C$1, $C$2)*1000000)/$D43</f>
        <v>87500.06967593632</v>
      </c>
      <c r="K43" s="13" cm="1">
        <f t="array" ref="K43">(_xll.Turner.GasRateStd(_xll.Turner.GasVelocityWater($C$2, $C43, $C$1), K$5, $C43, $C$1, $C$2)*1000000)/$D43</f>
        <v>129678.74220403419</v>
      </c>
      <c r="L43" s="13" cm="1">
        <f t="array" ref="L43">(_xll.Turner.GasRateStd(_xll.Turner.GasVelocityWater($C$2, $C43, $C$1), L$5, $C43, $C$1, $C$2)*1000000)/$D43</f>
        <v>214366.90037809737</v>
      </c>
      <c r="M43" s="13" cm="1">
        <f t="array" ref="M43">(_xll.Turner.GasRateStd(_xll.Turner.GasVelocityWater($C$2, $C43, $C$1), M$5, $C43, $C$1, $C$2)*1000000)/$D43</f>
        <v>320227.09809567622</v>
      </c>
      <c r="N43" s="13" cm="1">
        <f t="array" ref="N43">(_xll.Turner.GasRateStd(_xll.Turner.GasVelocityWater($C$2, $C43, $C$1), N$5, $C43, $C$1, $C$2)*1000000)/$D43</f>
        <v>518714.96881613677</v>
      </c>
      <c r="O43" s="1"/>
    </row>
    <row r="44" spans="3:15" x14ac:dyDescent="0.45">
      <c r="C44" s="35">
        <f t="shared" si="7"/>
        <v>64.7</v>
      </c>
      <c r="D44" s="31">
        <v>100</v>
      </c>
      <c r="E44" s="13" cm="1">
        <f t="array" ref="E44">(_xll.Turner.GasRateStd(_xll.Turner.GasVelocityWater($C$2, $C44, $C$1), E$5, $C44, $C$1, $C$2)*1000000)/$D44</f>
        <v>994.1682984931341</v>
      </c>
      <c r="F44" s="13" cm="1">
        <f t="array" ref="F44">(_xll.Turner.GasRateStd(_xll.Turner.GasVelocityWater($C$2, $C44, $C$1), F$5, $C44, $C$1, $C$2)*1000000)/$D44</f>
        <v>1431.6023498301129</v>
      </c>
      <c r="G44" s="13" cm="1">
        <f t="array" ref="G44">(_xll.Turner.GasRateStd(_xll.Turner.GasVelocityWater($C$2, $C44, $C$1), G$5, $C44, $C$1, $C$2)*1000000)/$D44</f>
        <v>1948.5698650465431</v>
      </c>
      <c r="H44" s="13" cm="1">
        <f t="array" ref="H44">(_xll.Turner.GasRateStd(_xll.Turner.GasVelocityWater($C$2, $C44, $C$1), H$5, $C44, $C$1, $C$2)*1000000)/$D44</f>
        <v>2296.9264368385366</v>
      </c>
      <c r="I44" s="13" cm="1">
        <f t="array" ref="I44">(_xll.Turner.GasRateStd(_xll.Turner.GasVelocityWater($C$2, $C44, $C$1), I$5, $C44, $C$1, $C$2)*1000000)/$D44</f>
        <v>3588.9475575602141</v>
      </c>
      <c r="J44" s="13" cm="1">
        <f t="array" ref="J44">(_xll.Turner.GasRateStd(_xll.Turner.GasVelocityWater($C$2, $C44, $C$1), J$5, $C44, $C$1, $C$2)*1000000)/$D44</f>
        <v>5259.150299028679</v>
      </c>
      <c r="K44" s="13" cm="1">
        <f t="array" ref="K44">(_xll.Turner.GasRateStd(_xll.Turner.GasVelocityWater($C$2, $C44, $C$1), K$5, $C44, $C$1, $C$2)*1000000)/$D44</f>
        <v>7794.2794601861724</v>
      </c>
      <c r="L44" s="13" cm="1">
        <f t="array" ref="L44">(_xll.Turner.GasRateStd(_xll.Turner.GasVelocityWater($C$2, $C44, $C$1), L$5, $C44, $C$1, $C$2)*1000000)/$D44</f>
        <v>12884.421148471019</v>
      </c>
      <c r="M44" s="13" cm="1">
        <f t="array" ref="M44">(_xll.Turner.GasRateStd(_xll.Turner.GasVelocityWater($C$2, $C44, $C$1), M$5, $C44, $C$1, $C$2)*1000000)/$D44</f>
        <v>19247.098258827071</v>
      </c>
      <c r="N44" s="13" cm="1">
        <f t="array" ref="N44">(_xll.Turner.GasRateStd(_xll.Turner.GasVelocityWater($C$2, $C44, $C$1), N$5, $C44, $C$1, $C$2)*1000000)/$D44</f>
        <v>31177.11784074469</v>
      </c>
      <c r="O44" s="1"/>
    </row>
    <row r="45" spans="3:15" hidden="1" x14ac:dyDescent="0.45">
      <c r="C45" s="12">
        <f t="shared" si="7"/>
        <v>114.7</v>
      </c>
      <c r="D45" s="31">
        <v>100</v>
      </c>
      <c r="E45" s="13" cm="1">
        <f t="array" ref="E45">(_xll.Turner.GasRateStd(_xll.Turner.GasVelocityWater($C$2, $C45, $C$1), E$5, $C45, $C$1, $C$2)*1000000)/$D45</f>
        <v>1327.1675446773472</v>
      </c>
      <c r="F45" s="13" cm="1">
        <f t="array" ref="F45">(_xll.Turner.GasRateStd(_xll.Turner.GasVelocityWater($C$2, $C45, $C$1), F$5, $C45, $C$1, $C$2)*1000000)/$D45</f>
        <v>1911.1212643353799</v>
      </c>
      <c r="G45" s="13" cm="1">
        <f t="array" ref="G45">(_xll.Turner.GasRateStd(_xll.Turner.GasVelocityWater($C$2, $C45, $C$1), G$5, $C45, $C$1, $C$2)*1000000)/$D45</f>
        <v>2601.2483875676007</v>
      </c>
      <c r="H45" s="13" cm="1">
        <f t="array" ref="H45">(_xll.Turner.GasRateStd(_xll.Turner.GasVelocityWater($C$2, $C45, $C$1), H$5, $C45, $C$1, $C$2)*1000000)/$D45</f>
        <v>3066.2878952225433</v>
      </c>
      <c r="I45" s="13" cm="1">
        <f t="array" ref="I45">(_xll.Turner.GasRateStd(_xll.Turner.GasVelocityWater($C$2, $C45, $C$1), I$5, $C45, $C$1, $C$2)*1000000)/$D45</f>
        <v>4791.0748362852228</v>
      </c>
      <c r="J45" s="13" cm="1">
        <f t="array" ref="J45">(_xll.Turner.GasRateStd(_xll.Turner.GasVelocityWater($C$2, $C45, $C$1), J$5, $C45, $C$1, $C$2)*1000000)/$D45</f>
        <v>7020.716311343167</v>
      </c>
      <c r="K45" s="13" cm="1">
        <f t="array" ref="K45">(_xll.Turner.GasRateStd(_xll.Turner.GasVelocityWater($C$2, $C45, $C$1), K$5, $C45, $C$1, $C$2)*1000000)/$D45</f>
        <v>10404.993550270403</v>
      </c>
      <c r="L45" s="13" cm="1">
        <f t="array" ref="L45">(_xll.Turner.GasRateStd(_xll.Turner.GasVelocityWater($C$2, $C45, $C$1), L$5, $C45, $C$1, $C$2)*1000000)/$D45</f>
        <v>17200.09137901842</v>
      </c>
      <c r="M45" s="13" cm="1">
        <f t="array" ref="M45">(_xll.Turner.GasRateStd(_xll.Turner.GasVelocityWater($C$2, $C45, $C$1), M$5, $C45, $C$1, $C$2)*1000000)/$D45</f>
        <v>25693.963664953437</v>
      </c>
      <c r="N45" s="13" cm="1">
        <f t="array" ref="N45">(_xll.Turner.GasRateStd(_xll.Turner.GasVelocityWater($C$2, $C45, $C$1), N$5, $C45, $C$1, $C$2)*1000000)/$D45</f>
        <v>41619.974201081612</v>
      </c>
      <c r="O45" s="1"/>
    </row>
    <row r="46" spans="3:15" hidden="1" x14ac:dyDescent="0.45">
      <c r="C46" s="35">
        <f t="shared" si="7"/>
        <v>264.7</v>
      </c>
      <c r="D46" s="31">
        <v>100</v>
      </c>
      <c r="E46" s="13" cm="1">
        <f t="array" ref="E46">(_xll.Turner.GasRateStd(_xll.Turner.GasVelocityWater($C$2, $C46, $C$1), E$5, $C46, $C$1, $C$2)*1000000)/$D46</f>
        <v>2031.9533721192849</v>
      </c>
      <c r="F46" s="13" cm="1">
        <f t="array" ref="F46">(_xll.Turner.GasRateStd(_xll.Turner.GasVelocityWater($C$2, $C46, $C$1), F$5, $C46, $C$1, $C$2)*1000000)/$D46</f>
        <v>2926.0128558517708</v>
      </c>
      <c r="G46" s="13" cm="1">
        <f t="array" ref="G46">(_xll.Turner.GasRateStd(_xll.Turner.GasVelocityWater($C$2, $C46, $C$1), G$5, $C46, $C$1, $C$2)*1000000)/$D46</f>
        <v>3982.6286093537988</v>
      </c>
      <c r="H46" s="13" cm="1">
        <f t="array" ref="H46">(_xll.Turner.GasRateStd(_xll.Turner.GasVelocityWater($C$2, $C46, $C$1), H$5, $C46, $C$1, $C$2)*1000000)/$D46</f>
        <v>4694.6250709443957</v>
      </c>
      <c r="I46" s="13" cm="1">
        <f t="array" ref="I46">(_xll.Turner.GasRateStd(_xll.Turner.GasVelocityWater($C$2, $C46, $C$1), I$5, $C46, $C$1, $C$2)*1000000)/$D46</f>
        <v>7335.3516733506167</v>
      </c>
      <c r="J46" s="13" cm="1">
        <f t="array" ref="J46">(_xll.Turner.GasRateStd(_xll.Turner.GasVelocityWater($C$2, $C46, $C$1), J$5, $C46, $C$1, $C$2)*1000000)/$D46</f>
        <v>10749.033338511015</v>
      </c>
      <c r="K46" s="13" cm="1">
        <f t="array" ref="K46">(_xll.Turner.GasRateStd(_xll.Turner.GasVelocityWater($C$2, $C46, $C$1), K$5, $C46, $C$1, $C$2)*1000000)/$D46</f>
        <v>15930.514437415195</v>
      </c>
      <c r="L46" s="13" cm="1">
        <f t="array" ref="L46">(_xll.Turner.GasRateStd(_xll.Turner.GasVelocityWater($C$2, $C46, $C$1), L$5, $C46, $C$1, $C$2)*1000000)/$D46</f>
        <v>26334.115702665931</v>
      </c>
      <c r="M46" s="13" cm="1">
        <f t="array" ref="M46">(_xll.Turner.GasRateStd(_xll.Turner.GasVelocityWater($C$2, $C46, $C$1), M$5, $C46, $C$1, $C$2)*1000000)/$D46</f>
        <v>39338.617284229345</v>
      </c>
      <c r="N46" s="13" cm="1">
        <f t="array" ref="N46">(_xll.Turner.GasRateStd(_xll.Turner.GasVelocityWater($C$2, $C46, $C$1), N$5, $C46, $C$1, $C$2)*1000000)/$D46</f>
        <v>63722.05774966078</v>
      </c>
      <c r="O46" s="1"/>
    </row>
    <row r="47" spans="3:15" hidden="1" x14ac:dyDescent="0.45">
      <c r="C47" s="12">
        <f t="shared" si="7"/>
        <v>514.70000000000005</v>
      </c>
      <c r="D47" s="31">
        <v>100</v>
      </c>
      <c r="E47" s="13" cm="1">
        <f t="array" ref="E47">(_xll.Turner.GasRateStd(_xll.Turner.GasVelocityWater($C$2, $C47, $C$1), E$5, $C47, $C$1, $C$2)*1000000)/$D47</f>
        <v>2869.8142885047696</v>
      </c>
      <c r="F47" s="13" cm="1">
        <f t="array" ref="F47">(_xll.Turner.GasRateStd(_xll.Turner.GasVelocityWater($C$2, $C47, $C$1), F$5, $C47, $C$1, $C$2)*1000000)/$D47</f>
        <v>4132.5325754468677</v>
      </c>
      <c r="G47" s="13" cm="1">
        <f t="array" ref="G47">(_xll.Turner.GasRateStd(_xll.Turner.GasVelocityWater($C$2, $C47, $C$1), G$5, $C47, $C$1, $C$2)*1000000)/$D47</f>
        <v>5624.8360054693476</v>
      </c>
      <c r="H47" s="13" cm="1">
        <f t="array" ref="H47">(_xll.Turner.GasRateStd(_xll.Turner.GasVelocityWater($C$2, $C47, $C$1), H$5, $C47, $C$1, $C$2)*1000000)/$D47</f>
        <v>6630.4189321614185</v>
      </c>
      <c r="I47" s="13" cm="1">
        <f t="array" ref="I47">(_xll.Turner.GasRateStd(_xll.Turner.GasVelocityWater($C$2, $C47, $C$1), I$5, $C47, $C$1, $C$2)*1000000)/$D47</f>
        <v>10360.029581502218</v>
      </c>
      <c r="J47" s="13" cm="1">
        <f t="array" ref="J47">(_xll.Turner.GasRateStd(_xll.Turner.GasVelocityWater($C$2, $C47, $C$1), J$5, $C47, $C$1, $C$2)*1000000)/$D47</f>
        <v>15181.317586190231</v>
      </c>
      <c r="K47" s="13" cm="1">
        <f t="array" ref="K47">(_xll.Turner.GasRateStd(_xll.Turner.GasVelocityWater($C$2, $C47, $C$1), K$5, $C47, $C$1, $C$2)*1000000)/$D47</f>
        <v>22499.34402187739</v>
      </c>
      <c r="L47" s="13" cm="1">
        <f t="array" ref="L47">(_xll.Turner.GasRateStd(_xll.Turner.GasVelocityWater($C$2, $C47, $C$1), L$5, $C47, $C$1, $C$2)*1000000)/$D47</f>
        <v>37192.793179021806</v>
      </c>
      <c r="M47" s="13" cm="1">
        <f t="array" ref="M47">(_xll.Turner.GasRateStd(_xll.Turner.GasVelocityWater($C$2, $C47, $C$1), M$5, $C47, $C$1, $C$2)*1000000)/$D47</f>
        <v>55559.604625452332</v>
      </c>
      <c r="N47" s="13" cm="1">
        <f t="array" ref="N47">(_xll.Turner.GasRateStd(_xll.Turner.GasVelocityWater($C$2, $C47, $C$1), N$5, $C47, $C$1, $C$2)*1000000)/$D47</f>
        <v>89997.376087509561</v>
      </c>
      <c r="O47" s="1"/>
    </row>
    <row r="48" spans="3:15" hidden="1" x14ac:dyDescent="0.45">
      <c r="C48" s="35">
        <f t="shared" si="7"/>
        <v>1014.7</v>
      </c>
      <c r="D48" s="31">
        <v>100</v>
      </c>
      <c r="E48" s="13" cm="1">
        <f t="array" ref="E48">(_xll.Turner.GasRateStd(_xll.Turner.GasVelocityWater($C$2, $C48, $C$1), E$5, $C48, $C$1, $C$2)*1000000)/$D48</f>
        <v>4123.5715094000925</v>
      </c>
      <c r="F48" s="13" cm="1">
        <f t="array" ref="F48">(_xll.Turner.GasRateStd(_xll.Turner.GasVelocityWater($C$2, $C48, $C$1), F$5, $C48, $C$1, $C$2)*1000000)/$D48</f>
        <v>5937.9429735361318</v>
      </c>
      <c r="G48" s="13" cm="1">
        <f t="array" ref="G48">(_xll.Turner.GasRateStd(_xll.Turner.GasVelocityWater($C$2, $C48, $C$1), G$5, $C48, $C$1, $C$2)*1000000)/$D48</f>
        <v>8082.2001584241807</v>
      </c>
      <c r="H48" s="13" cm="1">
        <f t="array" ref="H48">(_xll.Turner.GasRateStd(_xll.Turner.GasVelocityWater($C$2, $C48, $C$1), H$5, $C48, $C$1, $C$2)*1000000)/$D48</f>
        <v>9527.0996153179713</v>
      </c>
      <c r="I48" s="13" cm="1">
        <f t="array" ref="I48">(_xll.Turner.GasRateStd(_xll.Turner.GasVelocityWater($C$2, $C48, $C$1), I$5, $C48, $C$1, $C$2)*1000000)/$D48</f>
        <v>14886.093148934331</v>
      </c>
      <c r="J48" s="13" cm="1">
        <f t="array" ref="J48">(_xll.Turner.GasRateStd(_xll.Turner.GasVelocityWater($C$2, $C48, $C$1), J$5, $C48, $C$1, $C$2)*1000000)/$D48</f>
        <v>21813.693284726483</v>
      </c>
      <c r="K48" s="13" cm="1">
        <f t="array" ref="K48">(_xll.Turner.GasRateStd(_xll.Turner.GasVelocityWater($C$2, $C48, $C$1), K$5, $C48, $C$1, $C$2)*1000000)/$D48</f>
        <v>32328.800633696723</v>
      </c>
      <c r="L48" s="13" cm="1">
        <f t="array" ref="L48">(_xll.Turner.GasRateStd(_xll.Turner.GasVelocityWater($C$2, $C48, $C$1), L$5, $C48, $C$1, $C$2)*1000000)/$D48</f>
        <v>53441.486761825196</v>
      </c>
      <c r="M48" s="13" cm="1">
        <f t="array" ref="M48">(_xll.Turner.GasRateStd(_xll.Turner.GasVelocityWater($C$2, $C48, $C$1), M$5, $C48, $C$1, $C$2)*1000000)/$D48</f>
        <v>79832.344421985748</v>
      </c>
      <c r="N48" s="13" cm="1">
        <f t="array" ref="N48">(_xll.Turner.GasRateStd(_xll.Turner.GasVelocityWater($C$2, $C48, $C$1), N$5, $C48, $C$1, $C$2)*1000000)/$D48</f>
        <v>129315.20253478689</v>
      </c>
      <c r="O48" s="1"/>
    </row>
    <row r="49" spans="3:14" hidden="1" x14ac:dyDescent="0.45">
      <c r="C49" s="12">
        <f t="shared" si="7"/>
        <v>2014.7</v>
      </c>
      <c r="D49" s="31">
        <v>100</v>
      </c>
      <c r="E49" s="13" cm="1">
        <f t="array" ref="E49">(_xll.Turner.GasRateStd(_xll.Turner.GasVelocityWater($C$2, $C49, $C$1), E$5, $C49, $C$1, $C$2)*1000000)/$D49</f>
        <v>5937.9423767675626</v>
      </c>
      <c r="F49" s="13" cm="1">
        <f t="array" ref="F49">(_xll.Turner.GasRateStd(_xll.Turner.GasVelocityWater($C$2, $C49, $C$1), F$5, $C49, $C$1, $C$2)*1000000)/$D49</f>
        <v>8550.6370225452883</v>
      </c>
      <c r="G49" s="13" cm="1">
        <f t="array" ref="G49">(_xll.Turner.GasRateStd(_xll.Turner.GasVelocityWater($C$2, $C49, $C$1), G$5, $C49, $C$1, $C$2)*1000000)/$D49</f>
        <v>11638.367058464424</v>
      </c>
      <c r="H49" s="13" cm="1">
        <f t="array" ref="H49">(_xll.Turner.GasRateStd(_xll.Turner.GasVelocityWater($C$2, $C49, $C$1), H$5, $C49, $C$1, $C$2)*1000000)/$D49</f>
        <v>13719.022067283771</v>
      </c>
      <c r="I49" s="13" cm="1">
        <f t="array" ref="I49">(_xll.Turner.GasRateStd(_xll.Turner.GasVelocityWater($C$2, $C49, $C$1), I$5, $C49, $C$1, $C$2)*1000000)/$D49</f>
        <v>21435.971980130893</v>
      </c>
      <c r="J49" s="13" cm="1">
        <f t="array" ref="J49">(_xll.Turner.GasRateStd(_xll.Turner.GasVelocityWater($C$2, $C49, $C$1), J$5, $C49, $C$1, $C$2)*1000000)/$D49</f>
        <v>31411.715173100401</v>
      </c>
      <c r="K49" s="13" cm="1">
        <f t="array" ref="K49">(_xll.Turner.GasRateStd(_xll.Turner.GasVelocityWater($C$2, $C49, $C$1), K$5, $C49, $C$1, $C$2)*1000000)/$D49</f>
        <v>46553.468233857697</v>
      </c>
      <c r="L49" s="13" cm="1">
        <f t="array" ref="L49">(_xll.Turner.GasRateStd(_xll.Turner.GasVelocityWater($C$2, $C49, $C$1), L$5, $C49, $C$1, $C$2)*1000000)/$D49</f>
        <v>76955.733202907606</v>
      </c>
      <c r="M49" s="13" cm="1">
        <f t="array" ref="M49">(_xll.Turner.GasRateStd(_xll.Turner.GasVelocityWater($C$2, $C49, $C$1), M$5, $C49, $C$1, $C$2)*1000000)/$D49</f>
        <v>114958.56441421995</v>
      </c>
      <c r="N49" s="13" cm="1">
        <f t="array" ref="N49">(_xll.Turner.GasRateStd(_xll.Turner.GasVelocityWater($C$2, $C49, $C$1), N$5, $C49, $C$1, $C$2)*1000000)/$D49</f>
        <v>186213.87293543079</v>
      </c>
    </row>
    <row r="50" spans="3:14" hidden="1" x14ac:dyDescent="0.45">
      <c r="C50" s="35">
        <f t="shared" si="7"/>
        <v>3014.7</v>
      </c>
      <c r="D50" s="31">
        <v>100</v>
      </c>
      <c r="E50" s="13" cm="1">
        <f t="array" ref="E50">(_xll.Turner.GasRateStd(_xll.Turner.GasVelocityWater($C$2, $C50, $C$1), E$5, $C50, $C$1, $C$2)*1000000)/$D50</f>
        <v>7100.7657033731757</v>
      </c>
      <c r="F50" s="13" cm="1">
        <f t="array" ref="F50">(_xll.Turner.GasRateStd(_xll.Turner.GasVelocityWater($C$2, $C50, $C$1), F$5, $C50, $C$1, $C$2)*1000000)/$D50</f>
        <v>10225.10261285737</v>
      </c>
      <c r="G50" s="13" cm="1">
        <f t="array" ref="G50">(_xll.Turner.GasRateStd(_xll.Turner.GasVelocityWater($C$2, $C50, $C$1), G$5, $C50, $C$1, $C$2)*1000000)/$D50</f>
        <v>13917.500778611424</v>
      </c>
      <c r="H50" s="13" cm="1">
        <f t="array" ref="H50">(_xll.Turner.GasRateStd(_xll.Turner.GasVelocityWater($C$2, $C50, $C$1), H$5, $C50, $C$1, $C$2)*1000000)/$D50</f>
        <v>16405.60908107338</v>
      </c>
      <c r="I50" s="13" cm="1">
        <f t="array" ref="I50">(_xll.Turner.GasRateStd(_xll.Turner.GasVelocityWater($C$2, $C50, $C$1), I$5, $C50, $C$1, $C$2)*1000000)/$D50</f>
        <v>25633.764189177156</v>
      </c>
      <c r="J50" s="13" cm="1">
        <f t="array" ref="J50">(_xll.Turner.GasRateStd(_xll.Turner.GasVelocityWater($C$2, $C50, $C$1), J$5, $C50, $C$1, $C$2)*1000000)/$D50</f>
        <v>37563.050570844091</v>
      </c>
      <c r="K50" s="13" cm="1">
        <f t="array" ref="K50">(_xll.Turner.GasRateStd(_xll.Turner.GasVelocityWater($C$2, $C50, $C$1), K$5, $C50, $C$1, $C$2)*1000000)/$D50</f>
        <v>55670.003114445695</v>
      </c>
      <c r="L50" s="13" cm="1">
        <f t="array" ref="L50">(_xll.Turner.GasRateStd(_xll.Turner.GasVelocityWater($C$2, $C50, $C$1), L$5, $C50, $C$1, $C$2)*1000000)/$D50</f>
        <v>92025.923515716349</v>
      </c>
      <c r="M50" s="13" cm="1">
        <f t="array" ref="M50">(_xll.Turner.GasRateStd(_xll.Turner.GasVelocityWater($C$2, $C50, $C$1), M$5, $C50, $C$1, $C$2)*1000000)/$D50</f>
        <v>137470.82401730464</v>
      </c>
      <c r="N50" s="13" cm="1">
        <f t="array" ref="N50">(_xll.Turner.GasRateStd(_xll.Turner.GasVelocityWater($C$2, $C50, $C$1), N$5, $C50, $C$1, $C$2)*1000000)/$D50</f>
        <v>222680.01245778278</v>
      </c>
    </row>
    <row r="51" spans="3:14" hidden="1" x14ac:dyDescent="0.45">
      <c r="C51" s="12">
        <f t="shared" si="7"/>
        <v>4014.7</v>
      </c>
      <c r="D51" s="31">
        <v>100</v>
      </c>
      <c r="E51" s="13" cm="1">
        <f t="array" ref="E51">(_xll.Turner.GasRateStd(_xll.Turner.GasVelocityWater($C$2, $C51, $C$1), E$5, $C51, $C$1, $C$2)*1000000)/$D51</f>
        <v>7812.8120596174449</v>
      </c>
      <c r="F51" s="13" cm="1">
        <f t="array" ref="F51">(_xll.Turner.GasRateStd(_xll.Turner.GasVelocityWater($C$2, $C51, $C$1), F$5, $C51, $C$1, $C$2)*1000000)/$D51</f>
        <v>11250.449365849123</v>
      </c>
      <c r="G51" s="13" cm="1">
        <f t="array" ref="G51">(_xll.Turner.GasRateStd(_xll.Turner.GasVelocityWater($C$2, $C51, $C$1), G$5, $C51, $C$1, $C$2)*1000000)/$D51</f>
        <v>15313.111636850193</v>
      </c>
      <c r="H51" s="13" cm="1">
        <f t="array" ref="H51">(_xll.Turner.GasRateStd(_xll.Turner.GasVelocityWater($C$2, $C51, $C$1), H$5, $C51, $C$1, $C$2)*1000000)/$D51</f>
        <v>18050.720982540148</v>
      </c>
      <c r="I51" s="13" cm="1">
        <f t="array" ref="I51">(_xll.Turner.GasRateStd(_xll.Turner.GasVelocityWater($C$2, $C51, $C$1), I$5, $C51, $C$1, $C$2)*1000000)/$D51</f>
        <v>28204.251535218977</v>
      </c>
      <c r="J51" s="13" cm="1">
        <f t="array" ref="J51">(_xll.Turner.GasRateStd(_xll.Turner.GasVelocityWater($C$2, $C51, $C$1), J$5, $C51, $C$1, $C$2)*1000000)/$D51</f>
        <v>41329.775795376285</v>
      </c>
      <c r="K51" s="13" cm="1">
        <f t="array" ref="K51">(_xll.Turner.GasRateStd(_xll.Turner.GasVelocityWater($C$2, $C51, $C$1), K$5, $C51, $C$1, $C$2)*1000000)/$D51</f>
        <v>61252.446547400774</v>
      </c>
      <c r="L51" s="13" cm="1">
        <f t="array" ref="L51">(_xll.Turner.GasRateStd(_xll.Turner.GasVelocityWater($C$2, $C51, $C$1), L$5, $C51, $C$1, $C$2)*1000000)/$D51</f>
        <v>101254.04429264208</v>
      </c>
      <c r="M51" s="13" cm="1">
        <f t="array" ref="M51">(_xll.Turner.GasRateStd(_xll.Turner.GasVelocityWater($C$2, $C51, $C$1), M$5, $C51, $C$1, $C$2)*1000000)/$D51</f>
        <v>151256.04147419374</v>
      </c>
      <c r="N51" s="13" cm="1">
        <f t="array" ref="N51">(_xll.Turner.GasRateStd(_xll.Turner.GasVelocityWater($C$2, $C51, $C$1), N$5, $C51, $C$1, $C$2)*1000000)/$D51</f>
        <v>245009.7861896031</v>
      </c>
    </row>
    <row r="52" spans="3:14" hidden="1" x14ac:dyDescent="0.45">
      <c r="C52" s="35">
        <f t="shared" si="7"/>
        <v>5014.7</v>
      </c>
      <c r="D52" s="31">
        <v>100</v>
      </c>
      <c r="E52" s="13" cm="1">
        <f t="array" ref="E52">(_xll.Turner.GasRateStd(_xll.Turner.GasVelocityWater($C$2, $C52, $C$1), E$5, $C52, $C$1, $C$2)*1000000)/$D52</f>
        <v>8270.3279466858548</v>
      </c>
      <c r="F52" s="13" cm="1">
        <f t="array" ref="F52">(_xll.Turner.GasRateStd(_xll.Turner.GasVelocityWater($C$2, $C52, $C$1), F$5, $C52, $C$1, $C$2)*1000000)/$D52</f>
        <v>11909.27224322763</v>
      </c>
      <c r="G52" s="13" cm="1">
        <f t="array" ref="G52">(_xll.Turner.GasRateStd(_xll.Turner.GasVelocityWater($C$2, $C52, $C$1), G$5, $C52, $C$1, $C$2)*1000000)/$D52</f>
        <v>16209.842775504274</v>
      </c>
      <c r="H52" s="13" cm="1">
        <f t="array" ref="H52">(_xll.Turner.GasRateStd(_xll.Turner.GasVelocityWater($C$2, $C52, $C$1), H$5, $C52, $C$1, $C$2)*1000000)/$D52</f>
        <v>19107.765688022995</v>
      </c>
      <c r="I52" s="13" cm="1">
        <f t="array" ref="I52">(_xll.Turner.GasRateStd(_xll.Turner.GasVelocityWater($C$2, $C52, $C$1), I$5, $C52, $C$1, $C$2)*1000000)/$D52</f>
        <v>29855.883887535929</v>
      </c>
      <c r="J52" s="13" cm="1">
        <f t="array" ref="J52">(_xll.Turner.GasRateStd(_xll.Turner.GasVelocityWater($C$2, $C52, $C$1), J$5, $C52, $C$1, $C$2)*1000000)/$D52</f>
        <v>43750.03483796816</v>
      </c>
      <c r="K52" s="13" cm="1">
        <f t="array" ref="K52">(_xll.Turner.GasRateStd(_xll.Turner.GasVelocityWater($C$2, $C52, $C$1), K$5, $C52, $C$1, $C$2)*1000000)/$D52</f>
        <v>64839.371102017096</v>
      </c>
      <c r="L52" s="13" cm="1">
        <f t="array" ref="L52">(_xll.Turner.GasRateStd(_xll.Turner.GasVelocityWater($C$2, $C52, $C$1), L$5, $C52, $C$1, $C$2)*1000000)/$D52</f>
        <v>107183.45018904869</v>
      </c>
      <c r="M52" s="13" cm="1">
        <f t="array" ref="M52">(_xll.Turner.GasRateStd(_xll.Turner.GasVelocityWater($C$2, $C52, $C$1), M$5, $C52, $C$1, $C$2)*1000000)/$D52</f>
        <v>160113.54904783811</v>
      </c>
      <c r="N52" s="13" cm="1">
        <f t="array" ref="N52">(_xll.Turner.GasRateStd(_xll.Turner.GasVelocityWater($C$2, $C52, $C$1), N$5, $C52, $C$1, $C$2)*1000000)/$D52</f>
        <v>259357.48440806838</v>
      </c>
    </row>
    <row r="53" spans="3:14" x14ac:dyDescent="0.45">
      <c r="C53" s="12">
        <f t="shared" si="7"/>
        <v>64.7</v>
      </c>
      <c r="D53" s="31">
        <f t="shared" ref="D53:D84" si="8">D44+100</f>
        <v>200</v>
      </c>
      <c r="E53" s="13" cm="1">
        <f t="array" ref="E53">(_xll.Turner.GasRateStd(_xll.Turner.GasVelocityWater($C$2, $C53, $C$1), E$5, $C53, $C$1, $C$2)*1000000)/$D53</f>
        <v>497.08414924656705</v>
      </c>
      <c r="F53" s="13" cm="1">
        <f t="array" ref="F53">(_xll.Turner.GasRateStd(_xll.Turner.GasVelocityWater($C$2, $C53, $C$1), F$5, $C53, $C$1, $C$2)*1000000)/$D53</f>
        <v>715.80117491505644</v>
      </c>
      <c r="G53" s="13" cm="1">
        <f t="array" ref="G53">(_xll.Turner.GasRateStd(_xll.Turner.GasVelocityWater($C$2, $C53, $C$1), G$5, $C53, $C$1, $C$2)*1000000)/$D53</f>
        <v>974.28493252327155</v>
      </c>
      <c r="H53" s="13" cm="1">
        <f t="array" ref="H53">(_xll.Turner.GasRateStd(_xll.Turner.GasVelocityWater($C$2, $C53, $C$1), H$5, $C53, $C$1, $C$2)*1000000)/$D53</f>
        <v>1148.4632184192683</v>
      </c>
      <c r="I53" s="13" cm="1">
        <f t="array" ref="I53">(_xll.Turner.GasRateStd(_xll.Turner.GasVelocityWater($C$2, $C53, $C$1), I$5, $C53, $C$1, $C$2)*1000000)/$D53</f>
        <v>1794.4737787801071</v>
      </c>
      <c r="J53" s="13" cm="1">
        <f t="array" ref="J53">(_xll.Turner.GasRateStd(_xll.Turner.GasVelocityWater($C$2, $C53, $C$1), J$5, $C53, $C$1, $C$2)*1000000)/$D53</f>
        <v>2629.5751495143395</v>
      </c>
      <c r="K53" s="13" cm="1">
        <f t="array" ref="K53">(_xll.Turner.GasRateStd(_xll.Turner.GasVelocityWater($C$2, $C53, $C$1), K$5, $C53, $C$1, $C$2)*1000000)/$D53</f>
        <v>3897.1397300930862</v>
      </c>
      <c r="L53" s="13" cm="1">
        <f t="array" ref="L53">(_xll.Turner.GasRateStd(_xll.Turner.GasVelocityWater($C$2, $C53, $C$1), L$5, $C53, $C$1, $C$2)*1000000)/$D53</f>
        <v>6442.2105742355097</v>
      </c>
      <c r="M53" s="13" cm="1">
        <f t="array" ref="M53">(_xll.Turner.GasRateStd(_xll.Turner.GasVelocityWater($C$2, $C53, $C$1), M$5, $C53, $C$1, $C$2)*1000000)/$D53</f>
        <v>9623.5491294135354</v>
      </c>
      <c r="N53" s="13" cm="1">
        <f t="array" ref="N53">(_xll.Turner.GasRateStd(_xll.Turner.GasVelocityWater($C$2, $C53, $C$1), N$5, $C53, $C$1, $C$2)*1000000)/$D53</f>
        <v>15588.558920372345</v>
      </c>
    </row>
    <row r="54" spans="3:14" hidden="1" x14ac:dyDescent="0.45">
      <c r="C54" s="35">
        <f t="shared" si="7"/>
        <v>114.7</v>
      </c>
      <c r="D54" s="31">
        <f t="shared" si="8"/>
        <v>200</v>
      </c>
      <c r="E54" s="13" cm="1">
        <f t="array" ref="E54">(_xll.Turner.GasRateStd(_xll.Turner.GasVelocityWater($C$2, $C54, $C$1), E$5, $C54, $C$1, $C$2)*1000000)/$D54</f>
        <v>663.58377233867361</v>
      </c>
      <c r="F54" s="13" cm="1">
        <f t="array" ref="F54">(_xll.Turner.GasRateStd(_xll.Turner.GasVelocityWater($C$2, $C54, $C$1), F$5, $C54, $C$1, $C$2)*1000000)/$D54</f>
        <v>955.56063216768996</v>
      </c>
      <c r="G54" s="13" cm="1">
        <f t="array" ref="G54">(_xll.Turner.GasRateStd(_xll.Turner.GasVelocityWater($C$2, $C54, $C$1), G$5, $C54, $C$1, $C$2)*1000000)/$D54</f>
        <v>1300.6241937838004</v>
      </c>
      <c r="H54" s="13" cm="1">
        <f t="array" ref="H54">(_xll.Turner.GasRateStd(_xll.Turner.GasVelocityWater($C$2, $C54, $C$1), H$5, $C54, $C$1, $C$2)*1000000)/$D54</f>
        <v>1533.1439476112716</v>
      </c>
      <c r="I54" s="13" cm="1">
        <f t="array" ref="I54">(_xll.Turner.GasRateStd(_xll.Turner.GasVelocityWater($C$2, $C54, $C$1), I$5, $C54, $C$1, $C$2)*1000000)/$D54</f>
        <v>2395.5374181426114</v>
      </c>
      <c r="J54" s="13" cm="1">
        <f t="array" ref="J54">(_xll.Turner.GasRateStd(_xll.Turner.GasVelocityWater($C$2, $C54, $C$1), J$5, $C54, $C$1, $C$2)*1000000)/$D54</f>
        <v>3510.3581556715835</v>
      </c>
      <c r="K54" s="13" cm="1">
        <f t="array" ref="K54">(_xll.Turner.GasRateStd(_xll.Turner.GasVelocityWater($C$2, $C54, $C$1), K$5, $C54, $C$1, $C$2)*1000000)/$D54</f>
        <v>5202.4967751352015</v>
      </c>
      <c r="L54" s="13" cm="1">
        <f t="array" ref="L54">(_xll.Turner.GasRateStd(_xll.Turner.GasVelocityWater($C$2, $C54, $C$1), L$5, $C54, $C$1, $C$2)*1000000)/$D54</f>
        <v>8600.0456895092102</v>
      </c>
      <c r="M54" s="13" cm="1">
        <f t="array" ref="M54">(_xll.Turner.GasRateStd(_xll.Turner.GasVelocityWater($C$2, $C54, $C$1), M$5, $C54, $C$1, $C$2)*1000000)/$D54</f>
        <v>12846.981832476718</v>
      </c>
      <c r="N54" s="13" cm="1">
        <f t="array" ref="N54">(_xll.Turner.GasRateStd(_xll.Turner.GasVelocityWater($C$2, $C54, $C$1), N$5, $C54, $C$1, $C$2)*1000000)/$D54</f>
        <v>20809.987100540806</v>
      </c>
    </row>
    <row r="55" spans="3:14" hidden="1" x14ac:dyDescent="0.45">
      <c r="C55" s="12">
        <f t="shared" si="7"/>
        <v>264.7</v>
      </c>
      <c r="D55" s="31">
        <f t="shared" si="8"/>
        <v>200</v>
      </c>
      <c r="E55" s="13" cm="1">
        <f t="array" ref="E55">(_xll.Turner.GasRateStd(_xll.Turner.GasVelocityWater($C$2, $C55, $C$1), E$5, $C55, $C$1, $C$2)*1000000)/$D55</f>
        <v>1015.9766860596425</v>
      </c>
      <c r="F55" s="13" cm="1">
        <f t="array" ref="F55">(_xll.Turner.GasRateStd(_xll.Turner.GasVelocityWater($C$2, $C55, $C$1), F$5, $C55, $C$1, $C$2)*1000000)/$D55</f>
        <v>1463.0064279258854</v>
      </c>
      <c r="G55" s="13" cm="1">
        <f t="array" ref="G55">(_xll.Turner.GasRateStd(_xll.Turner.GasVelocityWater($C$2, $C55, $C$1), G$5, $C55, $C$1, $C$2)*1000000)/$D55</f>
        <v>1991.3143046768994</v>
      </c>
      <c r="H55" s="13" cm="1">
        <f t="array" ref="H55">(_xll.Turner.GasRateStd(_xll.Turner.GasVelocityWater($C$2, $C55, $C$1), H$5, $C55, $C$1, $C$2)*1000000)/$D55</f>
        <v>2347.3125354721979</v>
      </c>
      <c r="I55" s="13" cm="1">
        <f t="array" ref="I55">(_xll.Turner.GasRateStd(_xll.Turner.GasVelocityWater($C$2, $C55, $C$1), I$5, $C55, $C$1, $C$2)*1000000)/$D55</f>
        <v>3667.6758366753083</v>
      </c>
      <c r="J55" s="13" cm="1">
        <f t="array" ref="J55">(_xll.Turner.GasRateStd(_xll.Turner.GasVelocityWater($C$2, $C55, $C$1), J$5, $C55, $C$1, $C$2)*1000000)/$D55</f>
        <v>5374.5166692555076</v>
      </c>
      <c r="K55" s="13" cm="1">
        <f t="array" ref="K55">(_xll.Turner.GasRateStd(_xll.Turner.GasVelocityWater($C$2, $C55, $C$1), K$5, $C55, $C$1, $C$2)*1000000)/$D55</f>
        <v>7965.2572187075975</v>
      </c>
      <c r="L55" s="13" cm="1">
        <f t="array" ref="L55">(_xll.Turner.GasRateStd(_xll.Turner.GasVelocityWater($C$2, $C55, $C$1), L$5, $C55, $C$1, $C$2)*1000000)/$D55</f>
        <v>13167.057851332966</v>
      </c>
      <c r="M55" s="13" cm="1">
        <f t="array" ref="M55">(_xll.Turner.GasRateStd(_xll.Turner.GasVelocityWater($C$2, $C55, $C$1), M$5, $C55, $C$1, $C$2)*1000000)/$D55</f>
        <v>19669.308642114673</v>
      </c>
      <c r="N55" s="13" cm="1">
        <f t="array" ref="N55">(_xll.Turner.GasRateStd(_xll.Turner.GasVelocityWater($C$2, $C55, $C$1), N$5, $C55, $C$1, $C$2)*1000000)/$D55</f>
        <v>31861.02887483039</v>
      </c>
    </row>
    <row r="56" spans="3:14" hidden="1" x14ac:dyDescent="0.45">
      <c r="C56" s="35">
        <f t="shared" si="7"/>
        <v>514.70000000000005</v>
      </c>
      <c r="D56" s="31">
        <f t="shared" si="8"/>
        <v>200</v>
      </c>
      <c r="E56" s="13" cm="1">
        <f t="array" ref="E56">(_xll.Turner.GasRateStd(_xll.Turner.GasVelocityWater($C$2, $C56, $C$1), E$5, $C56, $C$1, $C$2)*1000000)/$D56</f>
        <v>1434.9071442523848</v>
      </c>
      <c r="F56" s="13" cm="1">
        <f t="array" ref="F56">(_xll.Turner.GasRateStd(_xll.Turner.GasVelocityWater($C$2, $C56, $C$1), F$5, $C56, $C$1, $C$2)*1000000)/$D56</f>
        <v>2066.2662877234338</v>
      </c>
      <c r="G56" s="13" cm="1">
        <f t="array" ref="G56">(_xll.Turner.GasRateStd(_xll.Turner.GasVelocityWater($C$2, $C56, $C$1), G$5, $C56, $C$1, $C$2)*1000000)/$D56</f>
        <v>2812.4180027346738</v>
      </c>
      <c r="H56" s="13" cm="1">
        <f t="array" ref="H56">(_xll.Turner.GasRateStd(_xll.Turner.GasVelocityWater($C$2, $C56, $C$1), H$5, $C56, $C$1, $C$2)*1000000)/$D56</f>
        <v>3315.2094660807093</v>
      </c>
      <c r="I56" s="13" cm="1">
        <f t="array" ref="I56">(_xll.Turner.GasRateStd(_xll.Turner.GasVelocityWater($C$2, $C56, $C$1), I$5, $C56, $C$1, $C$2)*1000000)/$D56</f>
        <v>5180.0147907511091</v>
      </c>
      <c r="J56" s="13" cm="1">
        <f t="array" ref="J56">(_xll.Turner.GasRateStd(_xll.Turner.GasVelocityWater($C$2, $C56, $C$1), J$5, $C56, $C$1, $C$2)*1000000)/$D56</f>
        <v>7590.6587930951155</v>
      </c>
      <c r="K56" s="13" cm="1">
        <f t="array" ref="K56">(_xll.Turner.GasRateStd(_xll.Turner.GasVelocityWater($C$2, $C56, $C$1), K$5, $C56, $C$1, $C$2)*1000000)/$D56</f>
        <v>11249.672010938695</v>
      </c>
      <c r="L56" s="13" cm="1">
        <f t="array" ref="L56">(_xll.Turner.GasRateStd(_xll.Turner.GasVelocityWater($C$2, $C56, $C$1), L$5, $C56, $C$1, $C$2)*1000000)/$D56</f>
        <v>18596.396589510903</v>
      </c>
      <c r="M56" s="13" cm="1">
        <f t="array" ref="M56">(_xll.Turner.GasRateStd(_xll.Turner.GasVelocityWater($C$2, $C56, $C$1), M$5, $C56, $C$1, $C$2)*1000000)/$D56</f>
        <v>27779.802312726166</v>
      </c>
      <c r="N56" s="13" cm="1">
        <f t="array" ref="N56">(_xll.Turner.GasRateStd(_xll.Turner.GasVelocityWater($C$2, $C56, $C$1), N$5, $C56, $C$1, $C$2)*1000000)/$D56</f>
        <v>44998.688043754781</v>
      </c>
    </row>
    <row r="57" spans="3:14" hidden="1" x14ac:dyDescent="0.45">
      <c r="C57" s="12">
        <f t="shared" si="7"/>
        <v>1014.7</v>
      </c>
      <c r="D57" s="31">
        <f t="shared" si="8"/>
        <v>200</v>
      </c>
      <c r="E57" s="13" cm="1">
        <f t="array" ref="E57">(_xll.Turner.GasRateStd(_xll.Turner.GasVelocityWater($C$2, $C57, $C$1), E$5, $C57, $C$1, $C$2)*1000000)/$D57</f>
        <v>2061.7857547000463</v>
      </c>
      <c r="F57" s="13" cm="1">
        <f t="array" ref="F57">(_xll.Turner.GasRateStd(_xll.Turner.GasVelocityWater($C$2, $C57, $C$1), F$5, $C57, $C$1, $C$2)*1000000)/$D57</f>
        <v>2968.9714867680659</v>
      </c>
      <c r="G57" s="13" cm="1">
        <f t="array" ref="G57">(_xll.Turner.GasRateStd(_xll.Turner.GasVelocityWater($C$2, $C57, $C$1), G$5, $C57, $C$1, $C$2)*1000000)/$D57</f>
        <v>4041.1000792120903</v>
      </c>
      <c r="H57" s="13" cm="1">
        <f t="array" ref="H57">(_xll.Turner.GasRateStd(_xll.Turner.GasVelocityWater($C$2, $C57, $C$1), H$5, $C57, $C$1, $C$2)*1000000)/$D57</f>
        <v>4763.5498076589856</v>
      </c>
      <c r="I57" s="13" cm="1">
        <f t="array" ref="I57">(_xll.Turner.GasRateStd(_xll.Turner.GasVelocityWater($C$2, $C57, $C$1), I$5, $C57, $C$1, $C$2)*1000000)/$D57</f>
        <v>7443.0465744671656</v>
      </c>
      <c r="J57" s="13" cm="1">
        <f t="array" ref="J57">(_xll.Turner.GasRateStd(_xll.Turner.GasVelocityWater($C$2, $C57, $C$1), J$5, $C57, $C$1, $C$2)*1000000)/$D57</f>
        <v>10906.846642363242</v>
      </c>
      <c r="K57" s="13" cm="1">
        <f t="array" ref="K57">(_xll.Turner.GasRateStd(_xll.Turner.GasVelocityWater($C$2, $C57, $C$1), K$5, $C57, $C$1, $C$2)*1000000)/$D57</f>
        <v>16164.400316848361</v>
      </c>
      <c r="L57" s="13" cm="1">
        <f t="array" ref="L57">(_xll.Turner.GasRateStd(_xll.Turner.GasVelocityWater($C$2, $C57, $C$1), L$5, $C57, $C$1, $C$2)*1000000)/$D57</f>
        <v>26720.743380912598</v>
      </c>
      <c r="M57" s="13" cm="1">
        <f t="array" ref="M57">(_xll.Turner.GasRateStd(_xll.Turner.GasVelocityWater($C$2, $C57, $C$1), M$5, $C57, $C$1, $C$2)*1000000)/$D57</f>
        <v>39916.172210992874</v>
      </c>
      <c r="N57" s="13" cm="1">
        <f t="array" ref="N57">(_xll.Turner.GasRateStd(_xll.Turner.GasVelocityWater($C$2, $C57, $C$1), N$5, $C57, $C$1, $C$2)*1000000)/$D57</f>
        <v>64657.601267393446</v>
      </c>
    </row>
    <row r="58" spans="3:14" hidden="1" x14ac:dyDescent="0.45">
      <c r="C58" s="35">
        <f t="shared" si="7"/>
        <v>2014.7</v>
      </c>
      <c r="D58" s="31">
        <f t="shared" si="8"/>
        <v>200</v>
      </c>
      <c r="E58" s="13" cm="1">
        <f t="array" ref="E58">(_xll.Turner.GasRateStd(_xll.Turner.GasVelocityWater($C$2, $C58, $C$1), E$5, $C58, $C$1, $C$2)*1000000)/$D58</f>
        <v>2968.9711883837813</v>
      </c>
      <c r="F58" s="13" cm="1">
        <f t="array" ref="F58">(_xll.Turner.GasRateStd(_xll.Turner.GasVelocityWater($C$2, $C58, $C$1), F$5, $C58, $C$1, $C$2)*1000000)/$D58</f>
        <v>4275.3185112726442</v>
      </c>
      <c r="G58" s="13" cm="1">
        <f t="array" ref="G58">(_xll.Turner.GasRateStd(_xll.Turner.GasVelocityWater($C$2, $C58, $C$1), G$5, $C58, $C$1, $C$2)*1000000)/$D58</f>
        <v>5819.1835292322121</v>
      </c>
      <c r="H58" s="13" cm="1">
        <f t="array" ref="H58">(_xll.Turner.GasRateStd(_xll.Turner.GasVelocityWater($C$2, $C58, $C$1), H$5, $C58, $C$1, $C$2)*1000000)/$D58</f>
        <v>6859.5110336418857</v>
      </c>
      <c r="I58" s="13" cm="1">
        <f t="array" ref="I58">(_xll.Turner.GasRateStd(_xll.Turner.GasVelocityWater($C$2, $C58, $C$1), I$5, $C58, $C$1, $C$2)*1000000)/$D58</f>
        <v>10717.985990065446</v>
      </c>
      <c r="J58" s="13" cm="1">
        <f t="array" ref="J58">(_xll.Turner.GasRateStd(_xll.Turner.GasVelocityWater($C$2, $C58, $C$1), J$5, $C58, $C$1, $C$2)*1000000)/$D58</f>
        <v>15705.857586550201</v>
      </c>
      <c r="K58" s="13" cm="1">
        <f t="array" ref="K58">(_xll.Turner.GasRateStd(_xll.Turner.GasVelocityWater($C$2, $C58, $C$1), K$5, $C58, $C$1, $C$2)*1000000)/$D58</f>
        <v>23276.734116928848</v>
      </c>
      <c r="L58" s="13" cm="1">
        <f t="array" ref="L58">(_xll.Turner.GasRateStd(_xll.Turner.GasVelocityWater($C$2, $C58, $C$1), L$5, $C58, $C$1, $C$2)*1000000)/$D58</f>
        <v>38477.866601453803</v>
      </c>
      <c r="M58" s="13" cm="1">
        <f t="array" ref="M58">(_xll.Turner.GasRateStd(_xll.Turner.GasVelocityWater($C$2, $C58, $C$1), M$5, $C58, $C$1, $C$2)*1000000)/$D58</f>
        <v>57479.282207109973</v>
      </c>
      <c r="N58" s="13" cm="1">
        <f t="array" ref="N58">(_xll.Turner.GasRateStd(_xll.Turner.GasVelocityWater($C$2, $C58, $C$1), N$5, $C58, $C$1, $C$2)*1000000)/$D58</f>
        <v>93106.936467715394</v>
      </c>
    </row>
    <row r="59" spans="3:14" hidden="1" x14ac:dyDescent="0.45">
      <c r="C59" s="12">
        <f t="shared" si="7"/>
        <v>3014.7</v>
      </c>
      <c r="D59" s="31">
        <f t="shared" si="8"/>
        <v>200</v>
      </c>
      <c r="E59" s="13" cm="1">
        <f t="array" ref="E59">(_xll.Turner.GasRateStd(_xll.Turner.GasVelocityWater($C$2, $C59, $C$1), E$5, $C59, $C$1, $C$2)*1000000)/$D59</f>
        <v>3550.3828516865879</v>
      </c>
      <c r="F59" s="13" cm="1">
        <f t="array" ref="F59">(_xll.Turner.GasRateStd(_xll.Turner.GasVelocityWater($C$2, $C59, $C$1), F$5, $C59, $C$1, $C$2)*1000000)/$D59</f>
        <v>5112.5513064286852</v>
      </c>
      <c r="G59" s="13" cm="1">
        <f t="array" ref="G59">(_xll.Turner.GasRateStd(_xll.Turner.GasVelocityWater($C$2, $C59, $C$1), G$5, $C59, $C$1, $C$2)*1000000)/$D59</f>
        <v>6958.7503893057119</v>
      </c>
      <c r="H59" s="13" cm="1">
        <f t="array" ref="H59">(_xll.Turner.GasRateStd(_xll.Turner.GasVelocityWater($C$2, $C59, $C$1), H$5, $C59, $C$1, $C$2)*1000000)/$D59</f>
        <v>8202.8045405366902</v>
      </c>
      <c r="I59" s="13" cm="1">
        <f t="array" ref="I59">(_xll.Turner.GasRateStd(_xll.Turner.GasVelocityWater($C$2, $C59, $C$1), I$5, $C59, $C$1, $C$2)*1000000)/$D59</f>
        <v>12816.882094588578</v>
      </c>
      <c r="J59" s="13" cm="1">
        <f t="array" ref="J59">(_xll.Turner.GasRateStd(_xll.Turner.GasVelocityWater($C$2, $C59, $C$1), J$5, $C59, $C$1, $C$2)*1000000)/$D59</f>
        <v>18781.525285422045</v>
      </c>
      <c r="K59" s="13" cm="1">
        <f t="array" ref="K59">(_xll.Turner.GasRateStd(_xll.Turner.GasVelocityWater($C$2, $C59, $C$1), K$5, $C59, $C$1, $C$2)*1000000)/$D59</f>
        <v>27835.001557222848</v>
      </c>
      <c r="L59" s="13" cm="1">
        <f t="array" ref="L59">(_xll.Turner.GasRateStd(_xll.Turner.GasVelocityWater($C$2, $C59, $C$1), L$5, $C59, $C$1, $C$2)*1000000)/$D59</f>
        <v>46012.961757858175</v>
      </c>
      <c r="M59" s="13" cm="1">
        <f t="array" ref="M59">(_xll.Turner.GasRateStd(_xll.Turner.GasVelocityWater($C$2, $C59, $C$1), M$5, $C59, $C$1, $C$2)*1000000)/$D59</f>
        <v>68735.412008652318</v>
      </c>
      <c r="N59" s="13" cm="1">
        <f t="array" ref="N59">(_xll.Turner.GasRateStd(_xll.Turner.GasVelocityWater($C$2, $C59, $C$1), N$5, $C59, $C$1, $C$2)*1000000)/$D59</f>
        <v>111340.00622889139</v>
      </c>
    </row>
    <row r="60" spans="3:14" hidden="1" x14ac:dyDescent="0.45">
      <c r="C60" s="35">
        <f t="shared" si="7"/>
        <v>4014.7</v>
      </c>
      <c r="D60" s="31">
        <f t="shared" si="8"/>
        <v>200</v>
      </c>
      <c r="E60" s="13" cm="1">
        <f t="array" ref="E60">(_xll.Turner.GasRateStd(_xll.Turner.GasVelocityWater($C$2, $C60, $C$1), E$5, $C60, $C$1, $C$2)*1000000)/$D60</f>
        <v>3906.4060298087225</v>
      </c>
      <c r="F60" s="13" cm="1">
        <f t="array" ref="F60">(_xll.Turner.GasRateStd(_xll.Turner.GasVelocityWater($C$2, $C60, $C$1), F$5, $C60, $C$1, $C$2)*1000000)/$D60</f>
        <v>5625.2246829245614</v>
      </c>
      <c r="G60" s="13" cm="1">
        <f t="array" ref="G60">(_xll.Turner.GasRateStd(_xll.Turner.GasVelocityWater($C$2, $C60, $C$1), G$5, $C60, $C$1, $C$2)*1000000)/$D60</f>
        <v>7656.5558184250967</v>
      </c>
      <c r="H60" s="13" cm="1">
        <f t="array" ref="H60">(_xll.Turner.GasRateStd(_xll.Turner.GasVelocityWater($C$2, $C60, $C$1), H$5, $C60, $C$1, $C$2)*1000000)/$D60</f>
        <v>9025.3604912700739</v>
      </c>
      <c r="I60" s="13" cm="1">
        <f t="array" ref="I60">(_xll.Turner.GasRateStd(_xll.Turner.GasVelocityWater($C$2, $C60, $C$1), I$5, $C60, $C$1, $C$2)*1000000)/$D60</f>
        <v>14102.125767609488</v>
      </c>
      <c r="J60" s="13" cm="1">
        <f t="array" ref="J60">(_xll.Turner.GasRateStd(_xll.Turner.GasVelocityWater($C$2, $C60, $C$1), J$5, $C60, $C$1, $C$2)*1000000)/$D60</f>
        <v>20664.887897688142</v>
      </c>
      <c r="K60" s="13" cm="1">
        <f t="array" ref="K60">(_xll.Turner.GasRateStd(_xll.Turner.GasVelocityWater($C$2, $C60, $C$1), K$5, $C60, $C$1, $C$2)*1000000)/$D60</f>
        <v>30626.223273700387</v>
      </c>
      <c r="L60" s="13" cm="1">
        <f t="array" ref="L60">(_xll.Turner.GasRateStd(_xll.Turner.GasVelocityWater($C$2, $C60, $C$1), L$5, $C60, $C$1, $C$2)*1000000)/$D60</f>
        <v>50627.02214632104</v>
      </c>
      <c r="M60" s="13" cm="1">
        <f t="array" ref="M60">(_xll.Turner.GasRateStd(_xll.Turner.GasVelocityWater($C$2, $C60, $C$1), M$5, $C60, $C$1, $C$2)*1000000)/$D60</f>
        <v>75628.020737096871</v>
      </c>
      <c r="N60" s="13" cm="1">
        <f t="array" ref="N60">(_xll.Turner.GasRateStd(_xll.Turner.GasVelocityWater($C$2, $C60, $C$1), N$5, $C60, $C$1, $C$2)*1000000)/$D60</f>
        <v>122504.89309480155</v>
      </c>
    </row>
    <row r="61" spans="3:14" hidden="1" x14ac:dyDescent="0.45">
      <c r="C61" s="12">
        <f t="shared" si="7"/>
        <v>5014.7</v>
      </c>
      <c r="D61" s="31">
        <f t="shared" si="8"/>
        <v>200</v>
      </c>
      <c r="E61" s="13" cm="1">
        <f t="array" ref="E61">(_xll.Turner.GasRateStd(_xll.Turner.GasVelocityWater($C$2, $C61, $C$1), E$5, $C61, $C$1, $C$2)*1000000)/$D61</f>
        <v>4135.1639733429274</v>
      </c>
      <c r="F61" s="13" cm="1">
        <f t="array" ref="F61">(_xll.Turner.GasRateStd(_xll.Turner.GasVelocityWater($C$2, $C61, $C$1), F$5, $C61, $C$1, $C$2)*1000000)/$D61</f>
        <v>5954.6361216138148</v>
      </c>
      <c r="G61" s="13" cm="1">
        <f t="array" ref="G61">(_xll.Turner.GasRateStd(_xll.Turner.GasVelocityWater($C$2, $C61, $C$1), G$5, $C61, $C$1, $C$2)*1000000)/$D61</f>
        <v>8104.921387752137</v>
      </c>
      <c r="H61" s="13" cm="1">
        <f t="array" ref="H61">(_xll.Turner.GasRateStd(_xll.Turner.GasVelocityWater($C$2, $C61, $C$1), H$5, $C61, $C$1, $C$2)*1000000)/$D61</f>
        <v>9553.8828440114976</v>
      </c>
      <c r="I61" s="13" cm="1">
        <f t="array" ref="I61">(_xll.Turner.GasRateStd(_xll.Turner.GasVelocityWater($C$2, $C61, $C$1), I$5, $C61, $C$1, $C$2)*1000000)/$D61</f>
        <v>14927.941943767964</v>
      </c>
      <c r="J61" s="13" cm="1">
        <f t="array" ref="J61">(_xll.Turner.GasRateStd(_xll.Turner.GasVelocityWater($C$2, $C61, $C$1), J$5, $C61, $C$1, $C$2)*1000000)/$D61</f>
        <v>21875.01741898408</v>
      </c>
      <c r="K61" s="13" cm="1">
        <f t="array" ref="K61">(_xll.Turner.GasRateStd(_xll.Turner.GasVelocityWater($C$2, $C61, $C$1), K$5, $C61, $C$1, $C$2)*1000000)/$D61</f>
        <v>32419.685551008548</v>
      </c>
      <c r="L61" s="13" cm="1">
        <f t="array" ref="L61">(_xll.Turner.GasRateStd(_xll.Turner.GasVelocityWater($C$2, $C61, $C$1), L$5, $C61, $C$1, $C$2)*1000000)/$D61</f>
        <v>53591.725094524343</v>
      </c>
      <c r="M61" s="13" cm="1">
        <f t="array" ref="M61">(_xll.Turner.GasRateStd(_xll.Turner.GasVelocityWater($C$2, $C61, $C$1), M$5, $C61, $C$1, $C$2)*1000000)/$D61</f>
        <v>80056.774523919055</v>
      </c>
      <c r="N61" s="13" cm="1">
        <f t="array" ref="N61">(_xll.Turner.GasRateStd(_xll.Turner.GasVelocityWater($C$2, $C61, $C$1), N$5, $C61, $C$1, $C$2)*1000000)/$D61</f>
        <v>129678.74220403419</v>
      </c>
    </row>
    <row r="62" spans="3:14" x14ac:dyDescent="0.45">
      <c r="C62" s="35">
        <f t="shared" si="7"/>
        <v>64.7</v>
      </c>
      <c r="D62" s="31">
        <f t="shared" si="8"/>
        <v>300</v>
      </c>
      <c r="E62" s="13" cm="1">
        <f t="array" ref="E62">(_xll.Turner.GasRateStd(_xll.Turner.GasVelocityWater($C$2, $C62, $C$1), E$5, $C62, $C$1, $C$2)*1000000)/$D62</f>
        <v>331.3894328310447</v>
      </c>
      <c r="F62" s="13" cm="1">
        <f t="array" ref="F62">(_xll.Turner.GasRateStd(_xll.Turner.GasVelocityWater($C$2, $C62, $C$1), F$5, $C62, $C$1, $C$2)*1000000)/$D62</f>
        <v>477.20078327670433</v>
      </c>
      <c r="G62" s="13" cm="1">
        <f t="array" ref="G62">(_xll.Turner.GasRateStd(_xll.Turner.GasVelocityWater($C$2, $C62, $C$1), G$5, $C62, $C$1, $C$2)*1000000)/$D62</f>
        <v>649.5232883488477</v>
      </c>
      <c r="H62" s="13" cm="1">
        <f t="array" ref="H62">(_xll.Turner.GasRateStd(_xll.Turner.GasVelocityWater($C$2, $C62, $C$1), H$5, $C62, $C$1, $C$2)*1000000)/$D62</f>
        <v>765.64214561284564</v>
      </c>
      <c r="I62" s="13" cm="1">
        <f t="array" ref="I62">(_xll.Turner.GasRateStd(_xll.Turner.GasVelocityWater($C$2, $C62, $C$1), I$5, $C62, $C$1, $C$2)*1000000)/$D62</f>
        <v>1196.3158525200713</v>
      </c>
      <c r="J62" s="13" cm="1">
        <f t="array" ref="J62">(_xll.Turner.GasRateStd(_xll.Turner.GasVelocityWater($C$2, $C62, $C$1), J$5, $C62, $C$1, $C$2)*1000000)/$D62</f>
        <v>1753.0500996762262</v>
      </c>
      <c r="K62" s="13" cm="1">
        <f t="array" ref="K62">(_xll.Turner.GasRateStd(_xll.Turner.GasVelocityWater($C$2, $C62, $C$1), K$5, $C62, $C$1, $C$2)*1000000)/$D62</f>
        <v>2598.0931533953908</v>
      </c>
      <c r="L62" s="13" cm="1">
        <f t="array" ref="L62">(_xll.Turner.GasRateStd(_xll.Turner.GasVelocityWater($C$2, $C62, $C$1), L$5, $C62, $C$1, $C$2)*1000000)/$D62</f>
        <v>4294.8070494903395</v>
      </c>
      <c r="M62" s="13" cm="1">
        <f t="array" ref="M62">(_xll.Turner.GasRateStd(_xll.Turner.GasVelocityWater($C$2, $C62, $C$1), M$5, $C62, $C$1, $C$2)*1000000)/$D62</f>
        <v>6415.6994196090236</v>
      </c>
      <c r="N62" s="13" cm="1">
        <f t="array" ref="N62">(_xll.Turner.GasRateStd(_xll.Turner.GasVelocityWater($C$2, $C62, $C$1), N$5, $C62, $C$1, $C$2)*1000000)/$D62</f>
        <v>10392.372613581563</v>
      </c>
    </row>
    <row r="63" spans="3:14" hidden="1" x14ac:dyDescent="0.45">
      <c r="C63" s="12">
        <f t="shared" ref="C63:C70" si="9">C54</f>
        <v>114.7</v>
      </c>
      <c r="D63" s="31">
        <f t="shared" si="8"/>
        <v>300</v>
      </c>
      <c r="E63" s="13" cm="1">
        <f t="array" ref="E63">(_xll.Turner.GasRateStd(_xll.Turner.GasVelocityWater($C$2, $C63, $C$1), E$5, $C63, $C$1, $C$2)*1000000)/$D63</f>
        <v>442.38918155911574</v>
      </c>
      <c r="F63" s="13" cm="1">
        <f t="array" ref="F63">(_xll.Turner.GasRateStd(_xll.Turner.GasVelocityWater($C$2, $C63, $C$1), F$5, $C63, $C$1, $C$2)*1000000)/$D63</f>
        <v>637.04042144512664</v>
      </c>
      <c r="G63" s="13" cm="1">
        <f t="array" ref="G63">(_xll.Turner.GasRateStd(_xll.Turner.GasVelocityWater($C$2, $C63, $C$1), G$5, $C63, $C$1, $C$2)*1000000)/$D63</f>
        <v>867.08279585586683</v>
      </c>
      <c r="H63" s="13" cm="1">
        <f t="array" ref="H63">(_xll.Turner.GasRateStd(_xll.Turner.GasVelocityWater($C$2, $C63, $C$1), H$5, $C63, $C$1, $C$2)*1000000)/$D63</f>
        <v>1022.0959650741811</v>
      </c>
      <c r="I63" s="13" cm="1">
        <f t="array" ref="I63">(_xll.Turner.GasRateStd(_xll.Turner.GasVelocityWater($C$2, $C63, $C$1), I$5, $C63, $C$1, $C$2)*1000000)/$D63</f>
        <v>1597.0249454284076</v>
      </c>
      <c r="J63" s="13" cm="1">
        <f t="array" ref="J63">(_xll.Turner.GasRateStd(_xll.Turner.GasVelocityWater($C$2, $C63, $C$1), J$5, $C63, $C$1, $C$2)*1000000)/$D63</f>
        <v>2340.2387704477223</v>
      </c>
      <c r="K63" s="13" cm="1">
        <f t="array" ref="K63">(_xll.Turner.GasRateStd(_xll.Turner.GasVelocityWater($C$2, $C63, $C$1), K$5, $C63, $C$1, $C$2)*1000000)/$D63</f>
        <v>3468.3311834234673</v>
      </c>
      <c r="L63" s="13" cm="1">
        <f t="array" ref="L63">(_xll.Turner.GasRateStd(_xll.Turner.GasVelocityWater($C$2, $C63, $C$1), L$5, $C63, $C$1, $C$2)*1000000)/$D63</f>
        <v>5733.3637930061395</v>
      </c>
      <c r="M63" s="13" cm="1">
        <f t="array" ref="M63">(_xll.Turner.GasRateStd(_xll.Turner.GasVelocityWater($C$2, $C63, $C$1), M$5, $C63, $C$1, $C$2)*1000000)/$D63</f>
        <v>8564.6545549844795</v>
      </c>
      <c r="N63" s="13" cm="1">
        <f t="array" ref="N63">(_xll.Turner.GasRateStd(_xll.Turner.GasVelocityWater($C$2, $C63, $C$1), N$5, $C63, $C$1, $C$2)*1000000)/$D63</f>
        <v>13873.324733693869</v>
      </c>
    </row>
    <row r="64" spans="3:14" hidden="1" x14ac:dyDescent="0.45">
      <c r="C64" s="35">
        <f t="shared" si="9"/>
        <v>264.7</v>
      </c>
      <c r="D64" s="31">
        <f t="shared" si="8"/>
        <v>300</v>
      </c>
      <c r="E64" s="13" cm="1">
        <f t="array" ref="E64">(_xll.Turner.GasRateStd(_xll.Turner.GasVelocityWater($C$2, $C64, $C$1), E$5, $C64, $C$1, $C$2)*1000000)/$D64</f>
        <v>677.31779070642835</v>
      </c>
      <c r="F64" s="13" cm="1">
        <f t="array" ref="F64">(_xll.Turner.GasRateStd(_xll.Turner.GasVelocityWater($C$2, $C64, $C$1), F$5, $C64, $C$1, $C$2)*1000000)/$D64</f>
        <v>975.33761861725691</v>
      </c>
      <c r="G64" s="13" cm="1">
        <f t="array" ref="G64">(_xll.Turner.GasRateStd(_xll.Turner.GasVelocityWater($C$2, $C64, $C$1), G$5, $C64, $C$1, $C$2)*1000000)/$D64</f>
        <v>1327.5428697845996</v>
      </c>
      <c r="H64" s="13" cm="1">
        <f t="array" ref="H64">(_xll.Turner.GasRateStd(_xll.Turner.GasVelocityWater($C$2, $C64, $C$1), H$5, $C64, $C$1, $C$2)*1000000)/$D64</f>
        <v>1564.8750236481317</v>
      </c>
      <c r="I64" s="13" cm="1">
        <f t="array" ref="I64">(_xll.Turner.GasRateStd(_xll.Turner.GasVelocityWater($C$2, $C64, $C$1), I$5, $C64, $C$1, $C$2)*1000000)/$D64</f>
        <v>2445.1172244502059</v>
      </c>
      <c r="J64" s="13" cm="1">
        <f t="array" ref="J64">(_xll.Turner.GasRateStd(_xll.Turner.GasVelocityWater($C$2, $C64, $C$1), J$5, $C64, $C$1, $C$2)*1000000)/$D64</f>
        <v>3583.0111128370054</v>
      </c>
      <c r="K64" s="13" cm="1">
        <f t="array" ref="K64">(_xll.Turner.GasRateStd(_xll.Turner.GasVelocityWater($C$2, $C64, $C$1), K$5, $C64, $C$1, $C$2)*1000000)/$D64</f>
        <v>5310.1714791383984</v>
      </c>
      <c r="L64" s="13" cm="1">
        <f t="array" ref="L64">(_xll.Turner.GasRateStd(_xll.Turner.GasVelocityWater($C$2, $C64, $C$1), L$5, $C64, $C$1, $C$2)*1000000)/$D64</f>
        <v>8778.0385675553116</v>
      </c>
      <c r="M64" s="13" cm="1">
        <f t="array" ref="M64">(_xll.Turner.GasRateStd(_xll.Turner.GasVelocityWater($C$2, $C64, $C$1), M$5, $C64, $C$1, $C$2)*1000000)/$D64</f>
        <v>13112.872428076449</v>
      </c>
      <c r="N64" s="13" cm="1">
        <f t="array" ref="N64">(_xll.Turner.GasRateStd(_xll.Turner.GasVelocityWater($C$2, $C64, $C$1), N$5, $C64, $C$1, $C$2)*1000000)/$D64</f>
        <v>21240.685916553593</v>
      </c>
    </row>
    <row r="65" spans="3:14" hidden="1" x14ac:dyDescent="0.45">
      <c r="C65" s="12">
        <f t="shared" si="9"/>
        <v>514.70000000000005</v>
      </c>
      <c r="D65" s="31">
        <f t="shared" si="8"/>
        <v>300</v>
      </c>
      <c r="E65" s="13" cm="1">
        <f t="array" ref="E65">(_xll.Turner.GasRateStd(_xll.Turner.GasVelocityWater($C$2, $C65, $C$1), E$5, $C65, $C$1, $C$2)*1000000)/$D65</f>
        <v>956.60476283492324</v>
      </c>
      <c r="F65" s="13" cm="1">
        <f t="array" ref="F65">(_xll.Turner.GasRateStd(_xll.Turner.GasVelocityWater($C$2, $C65, $C$1), F$5, $C65, $C$1, $C$2)*1000000)/$D65</f>
        <v>1377.5108584822892</v>
      </c>
      <c r="G65" s="13" cm="1">
        <f t="array" ref="G65">(_xll.Turner.GasRateStd(_xll.Turner.GasVelocityWater($C$2, $C65, $C$1), G$5, $C65, $C$1, $C$2)*1000000)/$D65</f>
        <v>1874.9453351564491</v>
      </c>
      <c r="H65" s="13" cm="1">
        <f t="array" ref="H65">(_xll.Turner.GasRateStd(_xll.Turner.GasVelocityWater($C$2, $C65, $C$1), H$5, $C65, $C$1, $C$2)*1000000)/$D65</f>
        <v>2210.139644053806</v>
      </c>
      <c r="I65" s="13" cm="1">
        <f t="array" ref="I65">(_xll.Turner.GasRateStd(_xll.Turner.GasVelocityWater($C$2, $C65, $C$1), I$5, $C65, $C$1, $C$2)*1000000)/$D65</f>
        <v>3453.3431938340723</v>
      </c>
      <c r="J65" s="13" cm="1">
        <f t="array" ref="J65">(_xll.Turner.GasRateStd(_xll.Turner.GasVelocityWater($C$2, $C65, $C$1), J$5, $C65, $C$1, $C$2)*1000000)/$D65</f>
        <v>5060.4391953967433</v>
      </c>
      <c r="K65" s="13" cm="1">
        <f t="array" ref="K65">(_xll.Turner.GasRateStd(_xll.Turner.GasVelocityWater($C$2, $C65, $C$1), K$5, $C65, $C$1, $C$2)*1000000)/$D65</f>
        <v>7499.7813406257965</v>
      </c>
      <c r="L65" s="13" cm="1">
        <f t="array" ref="L65">(_xll.Turner.GasRateStd(_xll.Turner.GasVelocityWater($C$2, $C65, $C$1), L$5, $C65, $C$1, $C$2)*1000000)/$D65</f>
        <v>12397.597726340602</v>
      </c>
      <c r="M65" s="13" cm="1">
        <f t="array" ref="M65">(_xll.Turner.GasRateStd(_xll.Turner.GasVelocityWater($C$2, $C65, $C$1), M$5, $C65, $C$1, $C$2)*1000000)/$D65</f>
        <v>18519.868208484109</v>
      </c>
      <c r="N65" s="13" cm="1">
        <f t="array" ref="N65">(_xll.Turner.GasRateStd(_xll.Turner.GasVelocityWater($C$2, $C65, $C$1), N$5, $C65, $C$1, $C$2)*1000000)/$D65</f>
        <v>29999.125362503186</v>
      </c>
    </row>
    <row r="66" spans="3:14" hidden="1" x14ac:dyDescent="0.45">
      <c r="C66" s="35">
        <f t="shared" si="9"/>
        <v>1014.7</v>
      </c>
      <c r="D66" s="31">
        <f t="shared" si="8"/>
        <v>300</v>
      </c>
      <c r="E66" s="13" cm="1">
        <f t="array" ref="E66">(_xll.Turner.GasRateStd(_xll.Turner.GasVelocityWater($C$2, $C66, $C$1), E$5, $C66, $C$1, $C$2)*1000000)/$D66</f>
        <v>1374.5238364666975</v>
      </c>
      <c r="F66" s="13" cm="1">
        <f t="array" ref="F66">(_xll.Turner.GasRateStd(_xll.Turner.GasVelocityWater($C$2, $C66, $C$1), F$5, $C66, $C$1, $C$2)*1000000)/$D66</f>
        <v>1979.3143245120439</v>
      </c>
      <c r="G66" s="13" cm="1">
        <f t="array" ref="G66">(_xll.Turner.GasRateStd(_xll.Turner.GasVelocityWater($C$2, $C66, $C$1), G$5, $C66, $C$1, $C$2)*1000000)/$D66</f>
        <v>2694.0667194747271</v>
      </c>
      <c r="H66" s="13" cm="1">
        <f t="array" ref="H66">(_xll.Turner.GasRateStd(_xll.Turner.GasVelocityWater($C$2, $C66, $C$1), H$5, $C66, $C$1, $C$2)*1000000)/$D66</f>
        <v>3175.6998717726574</v>
      </c>
      <c r="I66" s="13" cm="1">
        <f t="array" ref="I66">(_xll.Turner.GasRateStd(_xll.Turner.GasVelocityWater($C$2, $C66, $C$1), I$5, $C66, $C$1, $C$2)*1000000)/$D66</f>
        <v>4962.0310496447773</v>
      </c>
      <c r="J66" s="13" cm="1">
        <f t="array" ref="J66">(_xll.Turner.GasRateStd(_xll.Turner.GasVelocityWater($C$2, $C66, $C$1), J$5, $C66, $C$1, $C$2)*1000000)/$D66</f>
        <v>7271.2310949088278</v>
      </c>
      <c r="K66" s="13" cm="1">
        <f t="array" ref="K66">(_xll.Turner.GasRateStd(_xll.Turner.GasVelocityWater($C$2, $C66, $C$1), K$5, $C66, $C$1, $C$2)*1000000)/$D66</f>
        <v>10776.266877898908</v>
      </c>
      <c r="L66" s="13" cm="1">
        <f t="array" ref="L66">(_xll.Turner.GasRateStd(_xll.Turner.GasVelocityWater($C$2, $C66, $C$1), L$5, $C66, $C$1, $C$2)*1000000)/$D66</f>
        <v>17813.828920608397</v>
      </c>
      <c r="M66" s="13" cm="1">
        <f t="array" ref="M66">(_xll.Turner.GasRateStd(_xll.Turner.GasVelocityWater($C$2, $C66, $C$1), M$5, $C66, $C$1, $C$2)*1000000)/$D66</f>
        <v>26610.781473995252</v>
      </c>
      <c r="N66" s="13" cm="1">
        <f t="array" ref="N66">(_xll.Turner.GasRateStd(_xll.Turner.GasVelocityWater($C$2, $C66, $C$1), N$5, $C66, $C$1, $C$2)*1000000)/$D66</f>
        <v>43105.067511595633</v>
      </c>
    </row>
    <row r="67" spans="3:14" hidden="1" x14ac:dyDescent="0.45">
      <c r="C67" s="12">
        <f t="shared" si="9"/>
        <v>2014.7</v>
      </c>
      <c r="D67" s="31">
        <f t="shared" si="8"/>
        <v>300</v>
      </c>
      <c r="E67" s="13" cm="1">
        <f t="array" ref="E67">(_xll.Turner.GasRateStd(_xll.Turner.GasVelocityWater($C$2, $C67, $C$1), E$5, $C67, $C$1, $C$2)*1000000)/$D67</f>
        <v>1979.3141255891874</v>
      </c>
      <c r="F67" s="13" cm="1">
        <f t="array" ref="F67">(_xll.Turner.GasRateStd(_xll.Turner.GasVelocityWater($C$2, $C67, $C$1), F$5, $C67, $C$1, $C$2)*1000000)/$D67</f>
        <v>2850.2123408484294</v>
      </c>
      <c r="G67" s="13" cm="1">
        <f t="array" ref="G67">(_xll.Turner.GasRateStd(_xll.Turner.GasVelocityWater($C$2, $C67, $C$1), G$5, $C67, $C$1, $C$2)*1000000)/$D67</f>
        <v>3879.4556861548081</v>
      </c>
      <c r="H67" s="13" cm="1">
        <f t="array" ref="H67">(_xll.Turner.GasRateStd(_xll.Turner.GasVelocityWater($C$2, $C67, $C$1), H$5, $C67, $C$1, $C$2)*1000000)/$D67</f>
        <v>4573.0073557612568</v>
      </c>
      <c r="I67" s="13" cm="1">
        <f t="array" ref="I67">(_xll.Turner.GasRateStd(_xll.Turner.GasVelocityWater($C$2, $C67, $C$1), I$5, $C67, $C$1, $C$2)*1000000)/$D67</f>
        <v>7145.3239933769637</v>
      </c>
      <c r="J67" s="13" cm="1">
        <f t="array" ref="J67">(_xll.Turner.GasRateStd(_xll.Turner.GasVelocityWater($C$2, $C67, $C$1), J$5, $C67, $C$1, $C$2)*1000000)/$D67</f>
        <v>10470.5717243668</v>
      </c>
      <c r="K67" s="13" cm="1">
        <f t="array" ref="K67">(_xll.Turner.GasRateStd(_xll.Turner.GasVelocityWater($C$2, $C67, $C$1), K$5, $C67, $C$1, $C$2)*1000000)/$D67</f>
        <v>15517.822744619232</v>
      </c>
      <c r="L67" s="13" cm="1">
        <f t="array" ref="L67">(_xll.Turner.GasRateStd(_xll.Turner.GasVelocityWater($C$2, $C67, $C$1), L$5, $C67, $C$1, $C$2)*1000000)/$D67</f>
        <v>25651.911067635869</v>
      </c>
      <c r="M67" s="13" cm="1">
        <f t="array" ref="M67">(_xll.Turner.GasRateStd(_xll.Turner.GasVelocityWater($C$2, $C67, $C$1), M$5, $C67, $C$1, $C$2)*1000000)/$D67</f>
        <v>38319.521471406653</v>
      </c>
      <c r="N67" s="13" cm="1">
        <f t="array" ref="N67">(_xll.Turner.GasRateStd(_xll.Turner.GasVelocityWater($C$2, $C67, $C$1), N$5, $C67, $C$1, $C$2)*1000000)/$D67</f>
        <v>62071.290978476929</v>
      </c>
    </row>
    <row r="68" spans="3:14" hidden="1" x14ac:dyDescent="0.45">
      <c r="C68" s="35">
        <f t="shared" si="9"/>
        <v>3014.7</v>
      </c>
      <c r="D68" s="31">
        <f t="shared" si="8"/>
        <v>300</v>
      </c>
      <c r="E68" s="13" cm="1">
        <f t="array" ref="E68">(_xll.Turner.GasRateStd(_xll.Turner.GasVelocityWater($C$2, $C68, $C$1), E$5, $C68, $C$1, $C$2)*1000000)/$D68</f>
        <v>2366.9219011243918</v>
      </c>
      <c r="F68" s="13" cm="1">
        <f t="array" ref="F68">(_xll.Turner.GasRateStd(_xll.Turner.GasVelocityWater($C$2, $C68, $C$1), F$5, $C68, $C$1, $C$2)*1000000)/$D68</f>
        <v>3408.3675376191236</v>
      </c>
      <c r="G68" s="13" cm="1">
        <f t="array" ref="G68">(_xll.Turner.GasRateStd(_xll.Turner.GasVelocityWater($C$2, $C68, $C$1), G$5, $C68, $C$1, $C$2)*1000000)/$D68</f>
        <v>4639.1669262038076</v>
      </c>
      <c r="H68" s="13" cm="1">
        <f t="array" ref="H68">(_xll.Turner.GasRateStd(_xll.Turner.GasVelocityWater($C$2, $C68, $C$1), H$5, $C68, $C$1, $C$2)*1000000)/$D68</f>
        <v>5468.5363603577935</v>
      </c>
      <c r="I68" s="13" cm="1">
        <f t="array" ref="I68">(_xll.Turner.GasRateStd(_xll.Turner.GasVelocityWater($C$2, $C68, $C$1), I$5, $C68, $C$1, $C$2)*1000000)/$D68</f>
        <v>8544.5880630590527</v>
      </c>
      <c r="J68" s="13" cm="1">
        <f t="array" ref="J68">(_xll.Turner.GasRateStd(_xll.Turner.GasVelocityWater($C$2, $C68, $C$1), J$5, $C68, $C$1, $C$2)*1000000)/$D68</f>
        <v>12521.01685694803</v>
      </c>
      <c r="K68" s="13" cm="1">
        <f t="array" ref="K68">(_xll.Turner.GasRateStd(_xll.Turner.GasVelocityWater($C$2, $C68, $C$1), K$5, $C68, $C$1, $C$2)*1000000)/$D68</f>
        <v>18556.667704815231</v>
      </c>
      <c r="L68" s="13" cm="1">
        <f t="array" ref="L68">(_xll.Turner.GasRateStd(_xll.Turner.GasVelocityWater($C$2, $C68, $C$1), L$5, $C68, $C$1, $C$2)*1000000)/$D68</f>
        <v>30675.307838572116</v>
      </c>
      <c r="M68" s="13" cm="1">
        <f t="array" ref="M68">(_xll.Turner.GasRateStd(_xll.Turner.GasVelocityWater($C$2, $C68, $C$1), M$5, $C68, $C$1, $C$2)*1000000)/$D68</f>
        <v>45823.608005768219</v>
      </c>
      <c r="N68" s="13" cm="1">
        <f t="array" ref="N68">(_xll.Turner.GasRateStd(_xll.Turner.GasVelocityWater($C$2, $C68, $C$1), N$5, $C68, $C$1, $C$2)*1000000)/$D68</f>
        <v>74226.670819260922</v>
      </c>
    </row>
    <row r="69" spans="3:14" hidden="1" x14ac:dyDescent="0.45">
      <c r="C69" s="12">
        <f t="shared" si="9"/>
        <v>4014.7</v>
      </c>
      <c r="D69" s="31">
        <f t="shared" si="8"/>
        <v>300</v>
      </c>
      <c r="E69" s="13" cm="1">
        <f t="array" ref="E69">(_xll.Turner.GasRateStd(_xll.Turner.GasVelocityWater($C$2, $C69, $C$1), E$5, $C69, $C$1, $C$2)*1000000)/$D69</f>
        <v>2604.2706865391483</v>
      </c>
      <c r="F69" s="13" cm="1">
        <f t="array" ref="F69">(_xll.Turner.GasRateStd(_xll.Turner.GasVelocityWater($C$2, $C69, $C$1), F$5, $C69, $C$1, $C$2)*1000000)/$D69</f>
        <v>3750.1497886163743</v>
      </c>
      <c r="G69" s="13" cm="1">
        <f t="array" ref="G69">(_xll.Turner.GasRateStd(_xll.Turner.GasVelocityWater($C$2, $C69, $C$1), G$5, $C69, $C$1, $C$2)*1000000)/$D69</f>
        <v>5104.3705456167309</v>
      </c>
      <c r="H69" s="13" cm="1">
        <f t="array" ref="H69">(_xll.Turner.GasRateStd(_xll.Turner.GasVelocityWater($C$2, $C69, $C$1), H$5, $C69, $C$1, $C$2)*1000000)/$D69</f>
        <v>6016.906994180049</v>
      </c>
      <c r="I69" s="13" cm="1">
        <f t="array" ref="I69">(_xll.Turner.GasRateStd(_xll.Turner.GasVelocityWater($C$2, $C69, $C$1), I$5, $C69, $C$1, $C$2)*1000000)/$D69</f>
        <v>9401.4171784063255</v>
      </c>
      <c r="J69" s="13" cm="1">
        <f t="array" ref="J69">(_xll.Turner.GasRateStd(_xll.Turner.GasVelocityWater($C$2, $C69, $C$1), J$5, $C69, $C$1, $C$2)*1000000)/$D69</f>
        <v>13776.591931792096</v>
      </c>
      <c r="K69" s="13" cm="1">
        <f t="array" ref="K69">(_xll.Turner.GasRateStd(_xll.Turner.GasVelocityWater($C$2, $C69, $C$1), K$5, $C69, $C$1, $C$2)*1000000)/$D69</f>
        <v>20417.482182466923</v>
      </c>
      <c r="L69" s="13" cm="1">
        <f t="array" ref="L69">(_xll.Turner.GasRateStd(_xll.Turner.GasVelocityWater($C$2, $C69, $C$1), L$5, $C69, $C$1, $C$2)*1000000)/$D69</f>
        <v>33751.348097547358</v>
      </c>
      <c r="M69" s="13" cm="1">
        <f t="array" ref="M69">(_xll.Turner.GasRateStd(_xll.Turner.GasVelocityWater($C$2, $C69, $C$1), M$5, $C69, $C$1, $C$2)*1000000)/$D69</f>
        <v>50418.680491397914</v>
      </c>
      <c r="N69" s="13" cm="1">
        <f t="array" ref="N69">(_xll.Turner.GasRateStd(_xll.Turner.GasVelocityWater($C$2, $C69, $C$1), N$5, $C69, $C$1, $C$2)*1000000)/$D69</f>
        <v>81669.928729867694</v>
      </c>
    </row>
    <row r="70" spans="3:14" hidden="1" x14ac:dyDescent="0.45">
      <c r="C70" s="35">
        <f t="shared" si="9"/>
        <v>5014.7</v>
      </c>
      <c r="D70" s="31">
        <f t="shared" si="8"/>
        <v>300</v>
      </c>
      <c r="E70" s="13" cm="1">
        <f t="array" ref="E70">(_xll.Turner.GasRateStd(_xll.Turner.GasVelocityWater($C$2, $C70, $C$1), E$5, $C70, $C$1, $C$2)*1000000)/$D70</f>
        <v>2756.7759822286184</v>
      </c>
      <c r="F70" s="13" cm="1">
        <f t="array" ref="F70">(_xll.Turner.GasRateStd(_xll.Turner.GasVelocityWater($C$2, $C70, $C$1), F$5, $C70, $C$1, $C$2)*1000000)/$D70</f>
        <v>3969.75741440921</v>
      </c>
      <c r="G70" s="13" cm="1">
        <f t="array" ref="G70">(_xll.Turner.GasRateStd(_xll.Turner.GasVelocityWater($C$2, $C70, $C$1), G$5, $C70, $C$1, $C$2)*1000000)/$D70</f>
        <v>5403.2809251680919</v>
      </c>
      <c r="H70" s="13" cm="1">
        <f t="array" ref="H70">(_xll.Turner.GasRateStd(_xll.Turner.GasVelocityWater($C$2, $C70, $C$1), H$5, $C70, $C$1, $C$2)*1000000)/$D70</f>
        <v>6369.255229340999</v>
      </c>
      <c r="I70" s="13" cm="1">
        <f t="array" ref="I70">(_xll.Turner.GasRateStd(_xll.Turner.GasVelocityWater($C$2, $C70, $C$1), I$5, $C70, $C$1, $C$2)*1000000)/$D70</f>
        <v>9951.961295845309</v>
      </c>
      <c r="J70" s="13" cm="1">
        <f t="array" ref="J70">(_xll.Turner.GasRateStd(_xll.Turner.GasVelocityWater($C$2, $C70, $C$1), J$5, $C70, $C$1, $C$2)*1000000)/$D70</f>
        <v>14583.344945989387</v>
      </c>
      <c r="K70" s="13" cm="1">
        <f t="array" ref="K70">(_xll.Turner.GasRateStd(_xll.Turner.GasVelocityWater($C$2, $C70, $C$1), K$5, $C70, $C$1, $C$2)*1000000)/$D70</f>
        <v>21613.123700672368</v>
      </c>
      <c r="L70" s="13" cm="1">
        <f t="array" ref="L70">(_xll.Turner.GasRateStd(_xll.Turner.GasVelocityWater($C$2, $C70, $C$1), L$5, $C70, $C$1, $C$2)*1000000)/$D70</f>
        <v>35727.816729682898</v>
      </c>
      <c r="M70" s="13" cm="1">
        <f t="array" ref="M70">(_xll.Turner.GasRateStd(_xll.Turner.GasVelocityWater($C$2, $C70, $C$1), M$5, $C70, $C$1, $C$2)*1000000)/$D70</f>
        <v>53371.183015946037</v>
      </c>
      <c r="N70" s="13" cm="1">
        <f t="array" ref="N70">(_xll.Turner.GasRateStd(_xll.Turner.GasVelocityWater($C$2, $C70, $C$1), N$5, $C70, $C$1, $C$2)*1000000)/$D70</f>
        <v>86452.494802689471</v>
      </c>
    </row>
    <row r="71" spans="3:14" x14ac:dyDescent="0.45">
      <c r="C71" s="12">
        <f t="shared" ref="C71:C107" si="10">C62</f>
        <v>64.7</v>
      </c>
      <c r="D71" s="31">
        <f t="shared" si="8"/>
        <v>400</v>
      </c>
      <c r="E71" s="13" cm="1">
        <f t="array" ref="E71">(_xll.Turner.GasRateStd(_xll.Turner.GasVelocityWater($C$2, $C71, $C$1), E$5, $C71, $C$1, $C$2)*1000000)/$D71</f>
        <v>248.54207462328353</v>
      </c>
      <c r="F71" s="13" cm="1">
        <f t="array" ref="F71">(_xll.Turner.GasRateStd(_xll.Turner.GasVelocityWater($C$2, $C71, $C$1), F$5, $C71, $C$1, $C$2)*1000000)/$D71</f>
        <v>357.90058745752822</v>
      </c>
      <c r="G71" s="13" cm="1">
        <f t="array" ref="G71">(_xll.Turner.GasRateStd(_xll.Turner.GasVelocityWater($C$2, $C71, $C$1), G$5, $C71, $C$1, $C$2)*1000000)/$D71</f>
        <v>487.14246626163578</v>
      </c>
      <c r="H71" s="13" cm="1">
        <f t="array" ref="H71">(_xll.Turner.GasRateStd(_xll.Turner.GasVelocityWater($C$2, $C71, $C$1), H$5, $C71, $C$1, $C$2)*1000000)/$D71</f>
        <v>574.23160920963414</v>
      </c>
      <c r="I71" s="13" cm="1">
        <f t="array" ref="I71">(_xll.Turner.GasRateStd(_xll.Turner.GasVelocityWater($C$2, $C71, $C$1), I$5, $C71, $C$1, $C$2)*1000000)/$D71</f>
        <v>897.23688939005353</v>
      </c>
      <c r="J71" s="13" cm="1">
        <f t="array" ref="J71">(_xll.Turner.GasRateStd(_xll.Turner.GasVelocityWater($C$2, $C71, $C$1), J$5, $C71, $C$1, $C$2)*1000000)/$D71</f>
        <v>1314.7875747571698</v>
      </c>
      <c r="K71" s="13" cm="1">
        <f t="array" ref="K71">(_xll.Turner.GasRateStd(_xll.Turner.GasVelocityWater($C$2, $C71, $C$1), K$5, $C71, $C$1, $C$2)*1000000)/$D71</f>
        <v>1948.5698650465431</v>
      </c>
      <c r="L71" s="13" cm="1">
        <f t="array" ref="L71">(_xll.Turner.GasRateStd(_xll.Turner.GasVelocityWater($C$2, $C71, $C$1), L$5, $C71, $C$1, $C$2)*1000000)/$D71</f>
        <v>3221.1052871177549</v>
      </c>
      <c r="M71" s="13" cm="1">
        <f t="array" ref="M71">(_xll.Turner.GasRateStd(_xll.Turner.GasVelocityWater($C$2, $C71, $C$1), M$5, $C71, $C$1, $C$2)*1000000)/$D71</f>
        <v>4811.7745647067677</v>
      </c>
      <c r="N71" s="13" cm="1">
        <f t="array" ref="N71">(_xll.Turner.GasRateStd(_xll.Turner.GasVelocityWater($C$2, $C71, $C$1), N$5, $C71, $C$1, $C$2)*1000000)/$D71</f>
        <v>7794.2794601861724</v>
      </c>
    </row>
    <row r="72" spans="3:14" hidden="1" x14ac:dyDescent="0.45">
      <c r="C72" s="35">
        <f t="shared" si="10"/>
        <v>114.7</v>
      </c>
      <c r="D72" s="31">
        <f t="shared" si="8"/>
        <v>400</v>
      </c>
      <c r="E72" s="13" cm="1">
        <f t="array" ref="E72">(_xll.Turner.GasRateStd(_xll.Turner.GasVelocityWater($C$2, $C72, $C$1), E$5, $C72, $C$1, $C$2)*1000000)/$D72</f>
        <v>331.79188616933681</v>
      </c>
      <c r="F72" s="13" cm="1">
        <f t="array" ref="F72">(_xll.Turner.GasRateStd(_xll.Turner.GasVelocityWater($C$2, $C72, $C$1), F$5, $C72, $C$1, $C$2)*1000000)/$D72</f>
        <v>477.78031608384498</v>
      </c>
      <c r="G72" s="13" cm="1">
        <f t="array" ref="G72">(_xll.Turner.GasRateStd(_xll.Turner.GasVelocityWater($C$2, $C72, $C$1), G$5, $C72, $C$1, $C$2)*1000000)/$D72</f>
        <v>650.31209689190018</v>
      </c>
      <c r="H72" s="13" cm="1">
        <f t="array" ref="H72">(_xll.Turner.GasRateStd(_xll.Turner.GasVelocityWater($C$2, $C72, $C$1), H$5, $C72, $C$1, $C$2)*1000000)/$D72</f>
        <v>766.57197380563582</v>
      </c>
      <c r="I72" s="13" cm="1">
        <f t="array" ref="I72">(_xll.Turner.GasRateStd(_xll.Turner.GasVelocityWater($C$2, $C72, $C$1), I$5, $C72, $C$1, $C$2)*1000000)/$D72</f>
        <v>1197.7687090713057</v>
      </c>
      <c r="J72" s="13" cm="1">
        <f t="array" ref="J72">(_xll.Turner.GasRateStd(_xll.Turner.GasVelocityWater($C$2, $C72, $C$1), J$5, $C72, $C$1, $C$2)*1000000)/$D72</f>
        <v>1755.1790778357918</v>
      </c>
      <c r="K72" s="13" cm="1">
        <f t="array" ref="K72">(_xll.Turner.GasRateStd(_xll.Turner.GasVelocityWater($C$2, $C72, $C$1), K$5, $C72, $C$1, $C$2)*1000000)/$D72</f>
        <v>2601.2483875676007</v>
      </c>
      <c r="L72" s="13" cm="1">
        <f t="array" ref="L72">(_xll.Turner.GasRateStd(_xll.Turner.GasVelocityWater($C$2, $C72, $C$1), L$5, $C72, $C$1, $C$2)*1000000)/$D72</f>
        <v>4300.0228447546051</v>
      </c>
      <c r="M72" s="13" cm="1">
        <f t="array" ref="M72">(_xll.Turner.GasRateStd(_xll.Turner.GasVelocityWater($C$2, $C72, $C$1), M$5, $C72, $C$1, $C$2)*1000000)/$D72</f>
        <v>6423.4909162383592</v>
      </c>
      <c r="N72" s="13" cm="1">
        <f t="array" ref="N72">(_xll.Turner.GasRateStd(_xll.Turner.GasVelocityWater($C$2, $C72, $C$1), N$5, $C72, $C$1, $C$2)*1000000)/$D72</f>
        <v>10404.993550270403</v>
      </c>
    </row>
    <row r="73" spans="3:14" hidden="1" x14ac:dyDescent="0.45">
      <c r="C73" s="12">
        <f t="shared" si="10"/>
        <v>264.7</v>
      </c>
      <c r="D73" s="31">
        <f t="shared" si="8"/>
        <v>400</v>
      </c>
      <c r="E73" s="13" cm="1">
        <f t="array" ref="E73">(_xll.Turner.GasRateStd(_xll.Turner.GasVelocityWater($C$2, $C73, $C$1), E$5, $C73, $C$1, $C$2)*1000000)/$D73</f>
        <v>507.98834302982124</v>
      </c>
      <c r="F73" s="13" cm="1">
        <f t="array" ref="F73">(_xll.Turner.GasRateStd(_xll.Turner.GasVelocityWater($C$2, $C73, $C$1), F$5, $C73, $C$1, $C$2)*1000000)/$D73</f>
        <v>731.50321396294271</v>
      </c>
      <c r="G73" s="13" cm="1">
        <f t="array" ref="G73">(_xll.Turner.GasRateStd(_xll.Turner.GasVelocityWater($C$2, $C73, $C$1), G$5, $C73, $C$1, $C$2)*1000000)/$D73</f>
        <v>995.65715233844969</v>
      </c>
      <c r="H73" s="13" cm="1">
        <f t="array" ref="H73">(_xll.Turner.GasRateStd(_xll.Turner.GasVelocityWater($C$2, $C73, $C$1), H$5, $C73, $C$1, $C$2)*1000000)/$D73</f>
        <v>1173.6562677360989</v>
      </c>
      <c r="I73" s="13" cm="1">
        <f t="array" ref="I73">(_xll.Turner.GasRateStd(_xll.Turner.GasVelocityWater($C$2, $C73, $C$1), I$5, $C73, $C$1, $C$2)*1000000)/$D73</f>
        <v>1833.8379183376542</v>
      </c>
      <c r="J73" s="13" cm="1">
        <f t="array" ref="J73">(_xll.Turner.GasRateStd(_xll.Turner.GasVelocityWater($C$2, $C73, $C$1), J$5, $C73, $C$1, $C$2)*1000000)/$D73</f>
        <v>2687.2583346277538</v>
      </c>
      <c r="K73" s="13" cm="1">
        <f t="array" ref="K73">(_xll.Turner.GasRateStd(_xll.Turner.GasVelocityWater($C$2, $C73, $C$1), K$5, $C73, $C$1, $C$2)*1000000)/$D73</f>
        <v>3982.6286093537988</v>
      </c>
      <c r="L73" s="13" cm="1">
        <f t="array" ref="L73">(_xll.Turner.GasRateStd(_xll.Turner.GasVelocityWater($C$2, $C73, $C$1), L$5, $C73, $C$1, $C$2)*1000000)/$D73</f>
        <v>6583.5289256664828</v>
      </c>
      <c r="M73" s="13" cm="1">
        <f t="array" ref="M73">(_xll.Turner.GasRateStd(_xll.Turner.GasVelocityWater($C$2, $C73, $C$1), M$5, $C73, $C$1, $C$2)*1000000)/$D73</f>
        <v>9834.6543210573363</v>
      </c>
      <c r="N73" s="13" cm="1">
        <f t="array" ref="N73">(_xll.Turner.GasRateStd(_xll.Turner.GasVelocityWater($C$2, $C73, $C$1), N$5, $C73, $C$1, $C$2)*1000000)/$D73</f>
        <v>15930.514437415195</v>
      </c>
    </row>
    <row r="74" spans="3:14" hidden="1" x14ac:dyDescent="0.45">
      <c r="C74" s="35">
        <f t="shared" si="10"/>
        <v>514.70000000000005</v>
      </c>
      <c r="D74" s="31">
        <f t="shared" si="8"/>
        <v>400</v>
      </c>
      <c r="E74" s="13" cm="1">
        <f t="array" ref="E74">(_xll.Turner.GasRateStd(_xll.Turner.GasVelocityWater($C$2, $C74, $C$1), E$5, $C74, $C$1, $C$2)*1000000)/$D74</f>
        <v>717.4535721261924</v>
      </c>
      <c r="F74" s="13" cm="1">
        <f t="array" ref="F74">(_xll.Turner.GasRateStd(_xll.Turner.GasVelocityWater($C$2, $C74, $C$1), F$5, $C74, $C$1, $C$2)*1000000)/$D74</f>
        <v>1033.1331438617169</v>
      </c>
      <c r="G74" s="13" cm="1">
        <f t="array" ref="G74">(_xll.Turner.GasRateStd(_xll.Turner.GasVelocityWater($C$2, $C74, $C$1), G$5, $C74, $C$1, $C$2)*1000000)/$D74</f>
        <v>1406.2090013673369</v>
      </c>
      <c r="H74" s="13" cm="1">
        <f t="array" ref="H74">(_xll.Turner.GasRateStd(_xll.Turner.GasVelocityWater($C$2, $C74, $C$1), H$5, $C74, $C$1, $C$2)*1000000)/$D74</f>
        <v>1657.6047330403546</v>
      </c>
      <c r="I74" s="13" cm="1">
        <f t="array" ref="I74">(_xll.Turner.GasRateStd(_xll.Turner.GasVelocityWater($C$2, $C74, $C$1), I$5, $C74, $C$1, $C$2)*1000000)/$D74</f>
        <v>2590.0073953755546</v>
      </c>
      <c r="J74" s="13" cm="1">
        <f t="array" ref="J74">(_xll.Turner.GasRateStd(_xll.Turner.GasVelocityWater($C$2, $C74, $C$1), J$5, $C74, $C$1, $C$2)*1000000)/$D74</f>
        <v>3795.3293965475577</v>
      </c>
      <c r="K74" s="13" cm="1">
        <f t="array" ref="K74">(_xll.Turner.GasRateStd(_xll.Turner.GasVelocityWater($C$2, $C74, $C$1), K$5, $C74, $C$1, $C$2)*1000000)/$D74</f>
        <v>5624.8360054693476</v>
      </c>
      <c r="L74" s="13" cm="1">
        <f t="array" ref="L74">(_xll.Turner.GasRateStd(_xll.Turner.GasVelocityWater($C$2, $C74, $C$1), L$5, $C74, $C$1, $C$2)*1000000)/$D74</f>
        <v>9298.1982947554516</v>
      </c>
      <c r="M74" s="13" cm="1">
        <f t="array" ref="M74">(_xll.Turner.GasRateStd(_xll.Turner.GasVelocityWater($C$2, $C74, $C$1), M$5, $C74, $C$1, $C$2)*1000000)/$D74</f>
        <v>13889.901156363083</v>
      </c>
      <c r="N74" s="13" cm="1">
        <f t="array" ref="N74">(_xll.Turner.GasRateStd(_xll.Turner.GasVelocityWater($C$2, $C74, $C$1), N$5, $C74, $C$1, $C$2)*1000000)/$D74</f>
        <v>22499.34402187739</v>
      </c>
    </row>
    <row r="75" spans="3:14" hidden="1" x14ac:dyDescent="0.45">
      <c r="C75" s="12">
        <f t="shared" si="10"/>
        <v>1014.7</v>
      </c>
      <c r="D75" s="31">
        <f t="shared" si="8"/>
        <v>400</v>
      </c>
      <c r="E75" s="13" cm="1">
        <f t="array" ref="E75">(_xll.Turner.GasRateStd(_xll.Turner.GasVelocityWater($C$2, $C75, $C$1), E$5, $C75, $C$1, $C$2)*1000000)/$D75</f>
        <v>1030.8928773500231</v>
      </c>
      <c r="F75" s="13" cm="1">
        <f t="array" ref="F75">(_xll.Turner.GasRateStd(_xll.Turner.GasVelocityWater($C$2, $C75, $C$1), F$5, $C75, $C$1, $C$2)*1000000)/$D75</f>
        <v>1484.485743384033</v>
      </c>
      <c r="G75" s="13" cm="1">
        <f t="array" ref="G75">(_xll.Turner.GasRateStd(_xll.Turner.GasVelocityWater($C$2, $C75, $C$1), G$5, $C75, $C$1, $C$2)*1000000)/$D75</f>
        <v>2020.5500396060452</v>
      </c>
      <c r="H75" s="13" cm="1">
        <f t="array" ref="H75">(_xll.Turner.GasRateStd(_xll.Turner.GasVelocityWater($C$2, $C75, $C$1), H$5, $C75, $C$1, $C$2)*1000000)/$D75</f>
        <v>2381.7749038294928</v>
      </c>
      <c r="I75" s="13" cm="1">
        <f t="array" ref="I75">(_xll.Turner.GasRateStd(_xll.Turner.GasVelocityWater($C$2, $C75, $C$1), I$5, $C75, $C$1, $C$2)*1000000)/$D75</f>
        <v>3721.5232872335828</v>
      </c>
      <c r="J75" s="13" cm="1">
        <f t="array" ref="J75">(_xll.Turner.GasRateStd(_xll.Turner.GasVelocityWater($C$2, $C75, $C$1), J$5, $C75, $C$1, $C$2)*1000000)/$D75</f>
        <v>5453.4233211816208</v>
      </c>
      <c r="K75" s="13" cm="1">
        <f t="array" ref="K75">(_xll.Turner.GasRateStd(_xll.Turner.GasVelocityWater($C$2, $C75, $C$1), K$5, $C75, $C$1, $C$2)*1000000)/$D75</f>
        <v>8082.2001584241807</v>
      </c>
      <c r="L75" s="13" cm="1">
        <f t="array" ref="L75">(_xll.Turner.GasRateStd(_xll.Turner.GasVelocityWater($C$2, $C75, $C$1), L$5, $C75, $C$1, $C$2)*1000000)/$D75</f>
        <v>13360.371690456299</v>
      </c>
      <c r="M75" s="13" cm="1">
        <f t="array" ref="M75">(_xll.Turner.GasRateStd(_xll.Turner.GasVelocityWater($C$2, $C75, $C$1), M$5, $C75, $C$1, $C$2)*1000000)/$D75</f>
        <v>19958.086105496437</v>
      </c>
      <c r="N75" s="13" cm="1">
        <f t="array" ref="N75">(_xll.Turner.GasRateStd(_xll.Turner.GasVelocityWater($C$2, $C75, $C$1), N$5, $C75, $C$1, $C$2)*1000000)/$D75</f>
        <v>32328.800633696723</v>
      </c>
    </row>
    <row r="76" spans="3:14" hidden="1" x14ac:dyDescent="0.45">
      <c r="C76" s="35">
        <f t="shared" si="10"/>
        <v>2014.7</v>
      </c>
      <c r="D76" s="31">
        <f t="shared" si="8"/>
        <v>400</v>
      </c>
      <c r="E76" s="13" cm="1">
        <f t="array" ref="E76">(_xll.Turner.GasRateStd(_xll.Turner.GasVelocityWater($C$2, $C76, $C$1), E$5, $C76, $C$1, $C$2)*1000000)/$D76</f>
        <v>1484.4855941918906</v>
      </c>
      <c r="F76" s="13" cm="1">
        <f t="array" ref="F76">(_xll.Turner.GasRateStd(_xll.Turner.GasVelocityWater($C$2, $C76, $C$1), F$5, $C76, $C$1, $C$2)*1000000)/$D76</f>
        <v>2137.6592556363221</v>
      </c>
      <c r="G76" s="13" cm="1">
        <f t="array" ref="G76">(_xll.Turner.GasRateStd(_xll.Turner.GasVelocityWater($C$2, $C76, $C$1), G$5, $C76, $C$1, $C$2)*1000000)/$D76</f>
        <v>2909.591764616106</v>
      </c>
      <c r="H76" s="13" cm="1">
        <f t="array" ref="H76">(_xll.Turner.GasRateStd(_xll.Turner.GasVelocityWater($C$2, $C76, $C$1), H$5, $C76, $C$1, $C$2)*1000000)/$D76</f>
        <v>3429.7555168209428</v>
      </c>
      <c r="I76" s="13" cm="1">
        <f t="array" ref="I76">(_xll.Turner.GasRateStd(_xll.Turner.GasVelocityWater($C$2, $C76, $C$1), I$5, $C76, $C$1, $C$2)*1000000)/$D76</f>
        <v>5358.9929950327232</v>
      </c>
      <c r="J76" s="13" cm="1">
        <f t="array" ref="J76">(_xll.Turner.GasRateStd(_xll.Turner.GasVelocityWater($C$2, $C76, $C$1), J$5, $C76, $C$1, $C$2)*1000000)/$D76</f>
        <v>7852.9287932751004</v>
      </c>
      <c r="K76" s="13" cm="1">
        <f t="array" ref="K76">(_xll.Turner.GasRateStd(_xll.Turner.GasVelocityWater($C$2, $C76, $C$1), K$5, $C76, $C$1, $C$2)*1000000)/$D76</f>
        <v>11638.367058464424</v>
      </c>
      <c r="L76" s="13" cm="1">
        <f t="array" ref="L76">(_xll.Turner.GasRateStd(_xll.Turner.GasVelocityWater($C$2, $C76, $C$1), L$5, $C76, $C$1, $C$2)*1000000)/$D76</f>
        <v>19238.933300726902</v>
      </c>
      <c r="M76" s="13" cm="1">
        <f t="array" ref="M76">(_xll.Turner.GasRateStd(_xll.Turner.GasVelocityWater($C$2, $C76, $C$1), M$5, $C76, $C$1, $C$2)*1000000)/$D76</f>
        <v>28739.641103554986</v>
      </c>
      <c r="N76" s="13" cm="1">
        <f t="array" ref="N76">(_xll.Turner.GasRateStd(_xll.Turner.GasVelocityWater($C$2, $C76, $C$1), N$5, $C76, $C$1, $C$2)*1000000)/$D76</f>
        <v>46553.468233857697</v>
      </c>
    </row>
    <row r="77" spans="3:14" hidden="1" x14ac:dyDescent="0.45">
      <c r="C77" s="12">
        <f t="shared" si="10"/>
        <v>3014.7</v>
      </c>
      <c r="D77" s="31">
        <f t="shared" si="8"/>
        <v>400</v>
      </c>
      <c r="E77" s="13" cm="1">
        <f t="array" ref="E77">(_xll.Turner.GasRateStd(_xll.Turner.GasVelocityWater($C$2, $C77, $C$1), E$5, $C77, $C$1, $C$2)*1000000)/$D77</f>
        <v>1775.1914258432939</v>
      </c>
      <c r="F77" s="13" cm="1">
        <f t="array" ref="F77">(_xll.Turner.GasRateStd(_xll.Turner.GasVelocityWater($C$2, $C77, $C$1), F$5, $C77, $C$1, $C$2)*1000000)/$D77</f>
        <v>2556.2756532143426</v>
      </c>
      <c r="G77" s="13" cm="1">
        <f t="array" ref="G77">(_xll.Turner.GasRateStd(_xll.Turner.GasVelocityWater($C$2, $C77, $C$1), G$5, $C77, $C$1, $C$2)*1000000)/$D77</f>
        <v>3479.375194652856</v>
      </c>
      <c r="H77" s="13" cm="1">
        <f t="array" ref="H77">(_xll.Turner.GasRateStd(_xll.Turner.GasVelocityWater($C$2, $C77, $C$1), H$5, $C77, $C$1, $C$2)*1000000)/$D77</f>
        <v>4101.4022702683451</v>
      </c>
      <c r="I77" s="13" cm="1">
        <f t="array" ref="I77">(_xll.Turner.GasRateStd(_xll.Turner.GasVelocityWater($C$2, $C77, $C$1), I$5, $C77, $C$1, $C$2)*1000000)/$D77</f>
        <v>6408.4410472942891</v>
      </c>
      <c r="J77" s="13" cm="1">
        <f t="array" ref="J77">(_xll.Turner.GasRateStd(_xll.Turner.GasVelocityWater($C$2, $C77, $C$1), J$5, $C77, $C$1, $C$2)*1000000)/$D77</f>
        <v>9390.7626427110226</v>
      </c>
      <c r="K77" s="13" cm="1">
        <f t="array" ref="K77">(_xll.Turner.GasRateStd(_xll.Turner.GasVelocityWater($C$2, $C77, $C$1), K$5, $C77, $C$1, $C$2)*1000000)/$D77</f>
        <v>13917.500778611424</v>
      </c>
      <c r="L77" s="13" cm="1">
        <f t="array" ref="L77">(_xll.Turner.GasRateStd(_xll.Turner.GasVelocityWater($C$2, $C77, $C$1), L$5, $C77, $C$1, $C$2)*1000000)/$D77</f>
        <v>23006.480878929087</v>
      </c>
      <c r="M77" s="13" cm="1">
        <f t="array" ref="M77">(_xll.Turner.GasRateStd(_xll.Turner.GasVelocityWater($C$2, $C77, $C$1), M$5, $C77, $C$1, $C$2)*1000000)/$D77</f>
        <v>34367.706004326159</v>
      </c>
      <c r="N77" s="13" cm="1">
        <f t="array" ref="N77">(_xll.Turner.GasRateStd(_xll.Turner.GasVelocityWater($C$2, $C77, $C$1), N$5, $C77, $C$1, $C$2)*1000000)/$D77</f>
        <v>55670.003114445695</v>
      </c>
    </row>
    <row r="78" spans="3:14" hidden="1" x14ac:dyDescent="0.45">
      <c r="C78" s="35">
        <f t="shared" si="10"/>
        <v>4014.7</v>
      </c>
      <c r="D78" s="31">
        <f t="shared" si="8"/>
        <v>400</v>
      </c>
      <c r="E78" s="13" cm="1">
        <f t="array" ref="E78">(_xll.Turner.GasRateStd(_xll.Turner.GasVelocityWater($C$2, $C78, $C$1), E$5, $C78, $C$1, $C$2)*1000000)/$D78</f>
        <v>1953.2030149043612</v>
      </c>
      <c r="F78" s="13" cm="1">
        <f t="array" ref="F78">(_xll.Turner.GasRateStd(_xll.Turner.GasVelocityWater($C$2, $C78, $C$1), F$5, $C78, $C$1, $C$2)*1000000)/$D78</f>
        <v>2812.6123414622807</v>
      </c>
      <c r="G78" s="13" cm="1">
        <f t="array" ref="G78">(_xll.Turner.GasRateStd(_xll.Turner.GasVelocityWater($C$2, $C78, $C$1), G$5, $C78, $C$1, $C$2)*1000000)/$D78</f>
        <v>3828.2779092125484</v>
      </c>
      <c r="H78" s="13" cm="1">
        <f t="array" ref="H78">(_xll.Turner.GasRateStd(_xll.Turner.GasVelocityWater($C$2, $C78, $C$1), H$5, $C78, $C$1, $C$2)*1000000)/$D78</f>
        <v>4512.680245635037</v>
      </c>
      <c r="I78" s="13" cm="1">
        <f t="array" ref="I78">(_xll.Turner.GasRateStd(_xll.Turner.GasVelocityWater($C$2, $C78, $C$1), I$5, $C78, $C$1, $C$2)*1000000)/$D78</f>
        <v>7051.0628838047442</v>
      </c>
      <c r="J78" s="13" cm="1">
        <f t="array" ref="J78">(_xll.Turner.GasRateStd(_xll.Turner.GasVelocityWater($C$2, $C78, $C$1), J$5, $C78, $C$1, $C$2)*1000000)/$D78</f>
        <v>10332.443948844071</v>
      </c>
      <c r="K78" s="13" cm="1">
        <f t="array" ref="K78">(_xll.Turner.GasRateStd(_xll.Turner.GasVelocityWater($C$2, $C78, $C$1), K$5, $C78, $C$1, $C$2)*1000000)/$D78</f>
        <v>15313.111636850193</v>
      </c>
      <c r="L78" s="13" cm="1">
        <f t="array" ref="L78">(_xll.Turner.GasRateStd(_xll.Turner.GasVelocityWater($C$2, $C78, $C$1), L$5, $C78, $C$1, $C$2)*1000000)/$D78</f>
        <v>25313.51107316052</v>
      </c>
      <c r="M78" s="13" cm="1">
        <f t="array" ref="M78">(_xll.Turner.GasRateStd(_xll.Turner.GasVelocityWater($C$2, $C78, $C$1), M$5, $C78, $C$1, $C$2)*1000000)/$D78</f>
        <v>37814.010368548436</v>
      </c>
      <c r="N78" s="13" cm="1">
        <f t="array" ref="N78">(_xll.Turner.GasRateStd(_xll.Turner.GasVelocityWater($C$2, $C78, $C$1), N$5, $C78, $C$1, $C$2)*1000000)/$D78</f>
        <v>61252.446547400774</v>
      </c>
    </row>
    <row r="79" spans="3:14" hidden="1" x14ac:dyDescent="0.45">
      <c r="C79" s="12">
        <f t="shared" si="10"/>
        <v>5014.7</v>
      </c>
      <c r="D79" s="31">
        <f t="shared" si="8"/>
        <v>400</v>
      </c>
      <c r="E79" s="13" cm="1">
        <f t="array" ref="E79">(_xll.Turner.GasRateStd(_xll.Turner.GasVelocityWater($C$2, $C79, $C$1), E$5, $C79, $C$1, $C$2)*1000000)/$D79</f>
        <v>2067.5819866714637</v>
      </c>
      <c r="F79" s="13" cm="1">
        <f t="array" ref="F79">(_xll.Turner.GasRateStd(_xll.Turner.GasVelocityWater($C$2, $C79, $C$1), F$5, $C79, $C$1, $C$2)*1000000)/$D79</f>
        <v>2977.3180608069074</v>
      </c>
      <c r="G79" s="13" cm="1">
        <f t="array" ref="G79">(_xll.Turner.GasRateStd(_xll.Turner.GasVelocityWater($C$2, $C79, $C$1), G$5, $C79, $C$1, $C$2)*1000000)/$D79</f>
        <v>4052.4606938760685</v>
      </c>
      <c r="H79" s="13" cm="1">
        <f t="array" ref="H79">(_xll.Turner.GasRateStd(_xll.Turner.GasVelocityWater($C$2, $C79, $C$1), H$5, $C79, $C$1, $C$2)*1000000)/$D79</f>
        <v>4776.9414220057488</v>
      </c>
      <c r="I79" s="13" cm="1">
        <f t="array" ref="I79">(_xll.Turner.GasRateStd(_xll.Turner.GasVelocityWater($C$2, $C79, $C$1), I$5, $C79, $C$1, $C$2)*1000000)/$D79</f>
        <v>7463.9709718839822</v>
      </c>
      <c r="J79" s="13" cm="1">
        <f t="array" ref="J79">(_xll.Turner.GasRateStd(_xll.Turner.GasVelocityWater($C$2, $C79, $C$1), J$5, $C79, $C$1, $C$2)*1000000)/$D79</f>
        <v>10937.50870949204</v>
      </c>
      <c r="K79" s="13" cm="1">
        <f t="array" ref="K79">(_xll.Turner.GasRateStd(_xll.Turner.GasVelocityWater($C$2, $C79, $C$1), K$5, $C79, $C$1, $C$2)*1000000)/$D79</f>
        <v>16209.842775504274</v>
      </c>
      <c r="L79" s="13" cm="1">
        <f t="array" ref="L79">(_xll.Turner.GasRateStd(_xll.Turner.GasVelocityWater($C$2, $C79, $C$1), L$5, $C79, $C$1, $C$2)*1000000)/$D79</f>
        <v>26795.862547262172</v>
      </c>
      <c r="M79" s="13" cm="1">
        <f t="array" ref="M79">(_xll.Turner.GasRateStd(_xll.Turner.GasVelocityWater($C$2, $C79, $C$1), M$5, $C79, $C$1, $C$2)*1000000)/$D79</f>
        <v>40028.387261959528</v>
      </c>
      <c r="N79" s="13" cm="1">
        <f t="array" ref="N79">(_xll.Turner.GasRateStd(_xll.Turner.GasVelocityWater($C$2, $C79, $C$1), N$5, $C79, $C$1, $C$2)*1000000)/$D79</f>
        <v>64839.371102017096</v>
      </c>
    </row>
    <row r="80" spans="3:14" x14ac:dyDescent="0.45">
      <c r="C80" s="35">
        <f t="shared" si="10"/>
        <v>64.7</v>
      </c>
      <c r="D80" s="31">
        <f t="shared" si="8"/>
        <v>500</v>
      </c>
      <c r="E80" s="13" cm="1">
        <f t="array" ref="E80">(_xll.Turner.GasRateStd(_xll.Turner.GasVelocityWater($C$2, $C80, $C$1), E$5, $C80, $C$1, $C$2)*1000000)/$D80</f>
        <v>198.8336596986268</v>
      </c>
      <c r="F80" s="13" cm="1">
        <f t="array" ref="F80">(_xll.Turner.GasRateStd(_xll.Turner.GasVelocityWater($C$2, $C80, $C$1), F$5, $C80, $C$1, $C$2)*1000000)/$D80</f>
        <v>286.32046996602259</v>
      </c>
      <c r="G80" s="13" cm="1">
        <f t="array" ref="G80">(_xll.Turner.GasRateStd(_xll.Turner.GasVelocityWater($C$2, $C80, $C$1), G$5, $C80, $C$1, $C$2)*1000000)/$D80</f>
        <v>389.71397300930863</v>
      </c>
      <c r="H80" s="13" cm="1">
        <f t="array" ref="H80">(_xll.Turner.GasRateStd(_xll.Turner.GasVelocityWater($C$2, $C80, $C$1), H$5, $C80, $C$1, $C$2)*1000000)/$D80</f>
        <v>459.38528736770735</v>
      </c>
      <c r="I80" s="13" cm="1">
        <f t="array" ref="I80">(_xll.Turner.GasRateStd(_xll.Turner.GasVelocityWater($C$2, $C80, $C$1), I$5, $C80, $C$1, $C$2)*1000000)/$D80</f>
        <v>717.78951151204285</v>
      </c>
      <c r="J80" s="13" cm="1">
        <f t="array" ref="J80">(_xll.Turner.GasRateStd(_xll.Turner.GasVelocityWater($C$2, $C80, $C$1), J$5, $C80, $C$1, $C$2)*1000000)/$D80</f>
        <v>1051.8300598057358</v>
      </c>
      <c r="K80" s="13" cm="1">
        <f t="array" ref="K80">(_xll.Turner.GasRateStd(_xll.Turner.GasVelocityWater($C$2, $C80, $C$1), K$5, $C80, $C$1, $C$2)*1000000)/$D80</f>
        <v>1558.8558920372345</v>
      </c>
      <c r="L80" s="13" cm="1">
        <f t="array" ref="L80">(_xll.Turner.GasRateStd(_xll.Turner.GasVelocityWater($C$2, $C80, $C$1), L$5, $C80, $C$1, $C$2)*1000000)/$D80</f>
        <v>2576.8842296942039</v>
      </c>
      <c r="M80" s="13" cm="1">
        <f t="array" ref="M80">(_xll.Turner.GasRateStd(_xll.Turner.GasVelocityWater($C$2, $C80, $C$1), M$5, $C80, $C$1, $C$2)*1000000)/$D80</f>
        <v>3849.4196517654141</v>
      </c>
      <c r="N80" s="13" cm="1">
        <f t="array" ref="N80">(_xll.Turner.GasRateStd(_xll.Turner.GasVelocityWater($C$2, $C80, $C$1), N$5, $C80, $C$1, $C$2)*1000000)/$D80</f>
        <v>6235.4235681489381</v>
      </c>
    </row>
    <row r="81" spans="3:14" hidden="1" x14ac:dyDescent="0.45">
      <c r="C81" s="12">
        <f t="shared" si="10"/>
        <v>114.7</v>
      </c>
      <c r="D81" s="31">
        <f t="shared" si="8"/>
        <v>500</v>
      </c>
      <c r="E81" s="13" cm="1">
        <f t="array" ref="E81">(_xll.Turner.GasRateStd(_xll.Turner.GasVelocityWater($C$2, $C81, $C$1), E$5, $C81, $C$1, $C$2)*1000000)/$D81</f>
        <v>265.43350893546943</v>
      </c>
      <c r="F81" s="13" cm="1">
        <f t="array" ref="F81">(_xll.Turner.GasRateStd(_xll.Turner.GasVelocityWater($C$2, $C81, $C$1), F$5, $C81, $C$1, $C$2)*1000000)/$D81</f>
        <v>382.22425286707596</v>
      </c>
      <c r="G81" s="13" cm="1">
        <f t="array" ref="G81">(_xll.Turner.GasRateStd(_xll.Turner.GasVelocityWater($C$2, $C81, $C$1), G$5, $C81, $C$1, $C$2)*1000000)/$D81</f>
        <v>520.24967751352017</v>
      </c>
      <c r="H81" s="13" cm="1">
        <f t="array" ref="H81">(_xll.Turner.GasRateStd(_xll.Turner.GasVelocityWater($C$2, $C81, $C$1), H$5, $C81, $C$1, $C$2)*1000000)/$D81</f>
        <v>613.25757904450859</v>
      </c>
      <c r="I81" s="13" cm="1">
        <f t="array" ref="I81">(_xll.Turner.GasRateStd(_xll.Turner.GasVelocityWater($C$2, $C81, $C$1), I$5, $C81, $C$1, $C$2)*1000000)/$D81</f>
        <v>958.21496725704446</v>
      </c>
      <c r="J81" s="13" cm="1">
        <f t="array" ref="J81">(_xll.Turner.GasRateStd(_xll.Turner.GasVelocityWater($C$2, $C81, $C$1), J$5, $C81, $C$1, $C$2)*1000000)/$D81</f>
        <v>1404.1432622686334</v>
      </c>
      <c r="K81" s="13" cm="1">
        <f t="array" ref="K81">(_xll.Turner.GasRateStd(_xll.Turner.GasVelocityWater($C$2, $C81, $C$1), K$5, $C81, $C$1, $C$2)*1000000)/$D81</f>
        <v>2080.9987100540807</v>
      </c>
      <c r="L81" s="13" cm="1">
        <f t="array" ref="L81">(_xll.Turner.GasRateStd(_xll.Turner.GasVelocityWater($C$2, $C81, $C$1), L$5, $C81, $C$1, $C$2)*1000000)/$D81</f>
        <v>3440.018275803684</v>
      </c>
      <c r="M81" s="13" cm="1">
        <f t="array" ref="M81">(_xll.Turner.GasRateStd(_xll.Turner.GasVelocityWater($C$2, $C81, $C$1), M$5, $C81, $C$1, $C$2)*1000000)/$D81</f>
        <v>5138.7927329906879</v>
      </c>
      <c r="N81" s="13" cm="1">
        <f t="array" ref="N81">(_xll.Turner.GasRateStd(_xll.Turner.GasVelocityWater($C$2, $C81, $C$1), N$5, $C81, $C$1, $C$2)*1000000)/$D81</f>
        <v>8323.9948402163227</v>
      </c>
    </row>
    <row r="82" spans="3:14" hidden="1" x14ac:dyDescent="0.45">
      <c r="C82" s="35">
        <f t="shared" si="10"/>
        <v>264.7</v>
      </c>
      <c r="D82" s="31">
        <f t="shared" si="8"/>
        <v>500</v>
      </c>
      <c r="E82" s="13" cm="1">
        <f t="array" ref="E82">(_xll.Turner.GasRateStd(_xll.Turner.GasVelocityWater($C$2, $C82, $C$1), E$5, $C82, $C$1, $C$2)*1000000)/$D82</f>
        <v>406.39067442385704</v>
      </c>
      <c r="F82" s="13" cm="1">
        <f t="array" ref="F82">(_xll.Turner.GasRateStd(_xll.Turner.GasVelocityWater($C$2, $C82, $C$1), F$5, $C82, $C$1, $C$2)*1000000)/$D82</f>
        <v>585.20257117035419</v>
      </c>
      <c r="G82" s="13" cm="1">
        <f t="array" ref="G82">(_xll.Turner.GasRateStd(_xll.Turner.GasVelocityWater($C$2, $C82, $C$1), G$5, $C82, $C$1, $C$2)*1000000)/$D82</f>
        <v>796.52572187075975</v>
      </c>
      <c r="H82" s="13" cm="1">
        <f t="array" ref="H82">(_xll.Turner.GasRateStd(_xll.Turner.GasVelocityWater($C$2, $C82, $C$1), H$5, $C82, $C$1, $C$2)*1000000)/$D82</f>
        <v>938.925014188879</v>
      </c>
      <c r="I82" s="13" cm="1">
        <f t="array" ref="I82">(_xll.Turner.GasRateStd(_xll.Turner.GasVelocityWater($C$2, $C82, $C$1), I$5, $C82, $C$1, $C$2)*1000000)/$D82</f>
        <v>1467.0703346701234</v>
      </c>
      <c r="J82" s="13" cm="1">
        <f t="array" ref="J82">(_xll.Turner.GasRateStd(_xll.Turner.GasVelocityWater($C$2, $C82, $C$1), J$5, $C82, $C$1, $C$2)*1000000)/$D82</f>
        <v>2149.806667702203</v>
      </c>
      <c r="K82" s="13" cm="1">
        <f t="array" ref="K82">(_xll.Turner.GasRateStd(_xll.Turner.GasVelocityWater($C$2, $C82, $C$1), K$5, $C82, $C$1, $C$2)*1000000)/$D82</f>
        <v>3186.102887483039</v>
      </c>
      <c r="L82" s="13" cm="1">
        <f t="array" ref="L82">(_xll.Turner.GasRateStd(_xll.Turner.GasVelocityWater($C$2, $C82, $C$1), L$5, $C82, $C$1, $C$2)*1000000)/$D82</f>
        <v>5266.8231405331862</v>
      </c>
      <c r="M82" s="13" cm="1">
        <f t="array" ref="M82">(_xll.Turner.GasRateStd(_xll.Turner.GasVelocityWater($C$2, $C82, $C$1), M$5, $C82, $C$1, $C$2)*1000000)/$D82</f>
        <v>7867.7234568458689</v>
      </c>
      <c r="N82" s="13" cm="1">
        <f t="array" ref="N82">(_xll.Turner.GasRateStd(_xll.Turner.GasVelocityWater($C$2, $C82, $C$1), N$5, $C82, $C$1, $C$2)*1000000)/$D82</f>
        <v>12744.411549932156</v>
      </c>
    </row>
    <row r="83" spans="3:14" hidden="1" x14ac:dyDescent="0.45">
      <c r="C83" s="12">
        <f t="shared" si="10"/>
        <v>514.70000000000005</v>
      </c>
      <c r="D83" s="31">
        <f t="shared" si="8"/>
        <v>500</v>
      </c>
      <c r="E83" s="13" cm="1">
        <f t="array" ref="E83">(_xll.Turner.GasRateStd(_xll.Turner.GasVelocityWater($C$2, $C83, $C$1), E$5, $C83, $C$1, $C$2)*1000000)/$D83</f>
        <v>573.96285770095392</v>
      </c>
      <c r="F83" s="13" cm="1">
        <f t="array" ref="F83">(_xll.Turner.GasRateStd(_xll.Turner.GasVelocityWater($C$2, $C83, $C$1), F$5, $C83, $C$1, $C$2)*1000000)/$D83</f>
        <v>826.50651508937358</v>
      </c>
      <c r="G83" s="13" cm="1">
        <f t="array" ref="G83">(_xll.Turner.GasRateStd(_xll.Turner.GasVelocityWater($C$2, $C83, $C$1), G$5, $C83, $C$1, $C$2)*1000000)/$D83</f>
        <v>1124.9672010938696</v>
      </c>
      <c r="H83" s="13" cm="1">
        <f t="array" ref="H83">(_xll.Turner.GasRateStd(_xll.Turner.GasVelocityWater($C$2, $C83, $C$1), H$5, $C83, $C$1, $C$2)*1000000)/$D83</f>
        <v>1326.0837864322837</v>
      </c>
      <c r="I83" s="13" cm="1">
        <f t="array" ref="I83">(_xll.Turner.GasRateStd(_xll.Turner.GasVelocityWater($C$2, $C83, $C$1), I$5, $C83, $C$1, $C$2)*1000000)/$D83</f>
        <v>2072.0059163004435</v>
      </c>
      <c r="J83" s="13" cm="1">
        <f t="array" ref="J83">(_xll.Turner.GasRateStd(_xll.Turner.GasVelocityWater($C$2, $C83, $C$1), J$5, $C83, $C$1, $C$2)*1000000)/$D83</f>
        <v>3036.263517238046</v>
      </c>
      <c r="K83" s="13" cm="1">
        <f t="array" ref="K83">(_xll.Turner.GasRateStd(_xll.Turner.GasVelocityWater($C$2, $C83, $C$1), K$5, $C83, $C$1, $C$2)*1000000)/$D83</f>
        <v>4499.8688043754782</v>
      </c>
      <c r="L83" s="13" cm="1">
        <f t="array" ref="L83">(_xll.Turner.GasRateStd(_xll.Turner.GasVelocityWater($C$2, $C83, $C$1), L$5, $C83, $C$1, $C$2)*1000000)/$D83</f>
        <v>7438.558635804362</v>
      </c>
      <c r="M83" s="13" cm="1">
        <f t="array" ref="M83">(_xll.Turner.GasRateStd(_xll.Turner.GasVelocityWater($C$2, $C83, $C$1), M$5, $C83, $C$1, $C$2)*1000000)/$D83</f>
        <v>11111.920925090466</v>
      </c>
      <c r="N83" s="13" cm="1">
        <f t="array" ref="N83">(_xll.Turner.GasRateStd(_xll.Turner.GasVelocityWater($C$2, $C83, $C$1), N$5, $C83, $C$1, $C$2)*1000000)/$D83</f>
        <v>17999.475217501913</v>
      </c>
    </row>
    <row r="84" spans="3:14" hidden="1" x14ac:dyDescent="0.45">
      <c r="C84" s="35">
        <f t="shared" si="10"/>
        <v>1014.7</v>
      </c>
      <c r="D84" s="31">
        <f t="shared" si="8"/>
        <v>500</v>
      </c>
      <c r="E84" s="13" cm="1">
        <f t="array" ref="E84">(_xll.Turner.GasRateStd(_xll.Turner.GasVelocityWater($C$2, $C84, $C$1), E$5, $C84, $C$1, $C$2)*1000000)/$D84</f>
        <v>824.71430188001841</v>
      </c>
      <c r="F84" s="13" cm="1">
        <f t="array" ref="F84">(_xll.Turner.GasRateStd(_xll.Turner.GasVelocityWater($C$2, $C84, $C$1), F$5, $C84, $C$1, $C$2)*1000000)/$D84</f>
        <v>1187.5885947072263</v>
      </c>
      <c r="G84" s="13" cm="1">
        <f t="array" ref="G84">(_xll.Turner.GasRateStd(_xll.Turner.GasVelocityWater($C$2, $C84, $C$1), G$5, $C84, $C$1, $C$2)*1000000)/$D84</f>
        <v>1616.4400316848362</v>
      </c>
      <c r="H84" s="13" cm="1">
        <f t="array" ref="H84">(_xll.Turner.GasRateStd(_xll.Turner.GasVelocityWater($C$2, $C84, $C$1), H$5, $C84, $C$1, $C$2)*1000000)/$D84</f>
        <v>1905.4199230635943</v>
      </c>
      <c r="I84" s="13" cm="1">
        <f t="array" ref="I84">(_xll.Turner.GasRateStd(_xll.Turner.GasVelocityWater($C$2, $C84, $C$1), I$5, $C84, $C$1, $C$2)*1000000)/$D84</f>
        <v>2977.2186297868661</v>
      </c>
      <c r="J84" s="13" cm="1">
        <f t="array" ref="J84">(_xll.Turner.GasRateStd(_xll.Turner.GasVelocityWater($C$2, $C84, $C$1), J$5, $C84, $C$1, $C$2)*1000000)/$D84</f>
        <v>4362.7386569452965</v>
      </c>
      <c r="K84" s="13" cm="1">
        <f t="array" ref="K84">(_xll.Turner.GasRateStd(_xll.Turner.GasVelocityWater($C$2, $C84, $C$1), K$5, $C84, $C$1, $C$2)*1000000)/$D84</f>
        <v>6465.7601267393447</v>
      </c>
      <c r="L84" s="13" cm="1">
        <f t="array" ref="L84">(_xll.Turner.GasRateStd(_xll.Turner.GasVelocityWater($C$2, $C84, $C$1), L$5, $C84, $C$1, $C$2)*1000000)/$D84</f>
        <v>10688.29735236504</v>
      </c>
      <c r="M84" s="13" cm="1">
        <f t="array" ref="M84">(_xll.Turner.GasRateStd(_xll.Turner.GasVelocityWater($C$2, $C84, $C$1), M$5, $C84, $C$1, $C$2)*1000000)/$D84</f>
        <v>15966.468884397151</v>
      </c>
      <c r="N84" s="13" cm="1">
        <f t="array" ref="N84">(_xll.Turner.GasRateStd(_xll.Turner.GasVelocityWater($C$2, $C84, $C$1), N$5, $C84, $C$1, $C$2)*1000000)/$D84</f>
        <v>25863.040506957379</v>
      </c>
    </row>
    <row r="85" spans="3:14" hidden="1" x14ac:dyDescent="0.45">
      <c r="C85" s="12">
        <f t="shared" si="10"/>
        <v>2014.7</v>
      </c>
      <c r="D85" s="31">
        <f t="shared" ref="D85:D116" si="11">D76+100</f>
        <v>500</v>
      </c>
      <c r="E85" s="13" cm="1">
        <f t="array" ref="E85">(_xll.Turner.GasRateStd(_xll.Turner.GasVelocityWater($C$2, $C85, $C$1), E$5, $C85, $C$1, $C$2)*1000000)/$D85</f>
        <v>1187.5884753535124</v>
      </c>
      <c r="F85" s="13" cm="1">
        <f t="array" ref="F85">(_xll.Turner.GasRateStd(_xll.Turner.GasVelocityWater($C$2, $C85, $C$1), F$5, $C85, $C$1, $C$2)*1000000)/$D85</f>
        <v>1710.1274045090577</v>
      </c>
      <c r="G85" s="13" cm="1">
        <f t="array" ref="G85">(_xll.Turner.GasRateStd(_xll.Turner.GasVelocityWater($C$2, $C85, $C$1), G$5, $C85, $C$1, $C$2)*1000000)/$D85</f>
        <v>2327.6734116928847</v>
      </c>
      <c r="H85" s="13" cm="1">
        <f t="array" ref="H85">(_xll.Turner.GasRateStd(_xll.Turner.GasVelocityWater($C$2, $C85, $C$1), H$5, $C85, $C$1, $C$2)*1000000)/$D85</f>
        <v>2743.8044134567544</v>
      </c>
      <c r="I85" s="13" cm="1">
        <f t="array" ref="I85">(_xll.Turner.GasRateStd(_xll.Turner.GasVelocityWater($C$2, $C85, $C$1), I$5, $C85, $C$1, $C$2)*1000000)/$D85</f>
        <v>4287.1943960261779</v>
      </c>
      <c r="J85" s="13" cm="1">
        <f t="array" ref="J85">(_xll.Turner.GasRateStd(_xll.Turner.GasVelocityWater($C$2, $C85, $C$1), J$5, $C85, $C$1, $C$2)*1000000)/$D85</f>
        <v>6282.3430346200803</v>
      </c>
      <c r="K85" s="13" cm="1">
        <f t="array" ref="K85">(_xll.Turner.GasRateStd(_xll.Turner.GasVelocityWater($C$2, $C85, $C$1), K$5, $C85, $C$1, $C$2)*1000000)/$D85</f>
        <v>9310.6936467715386</v>
      </c>
      <c r="L85" s="13" cm="1">
        <f t="array" ref="L85">(_xll.Turner.GasRateStd(_xll.Turner.GasVelocityWater($C$2, $C85, $C$1), L$5, $C85, $C$1, $C$2)*1000000)/$D85</f>
        <v>15391.146640581521</v>
      </c>
      <c r="M85" s="13" cm="1">
        <f t="array" ref="M85">(_xll.Turner.GasRateStd(_xll.Turner.GasVelocityWater($C$2, $C85, $C$1), M$5, $C85, $C$1, $C$2)*1000000)/$D85</f>
        <v>22991.712882843989</v>
      </c>
      <c r="N85" s="13" cm="1">
        <f t="array" ref="N85">(_xll.Turner.GasRateStd(_xll.Turner.GasVelocityWater($C$2, $C85, $C$1), N$5, $C85, $C$1, $C$2)*1000000)/$D85</f>
        <v>37242.774587086154</v>
      </c>
    </row>
    <row r="86" spans="3:14" hidden="1" x14ac:dyDescent="0.45">
      <c r="C86" s="35">
        <f t="shared" si="10"/>
        <v>3014.7</v>
      </c>
      <c r="D86" s="31">
        <f t="shared" si="11"/>
        <v>500</v>
      </c>
      <c r="E86" s="13" cm="1">
        <f t="array" ref="E86">(_xll.Turner.GasRateStd(_xll.Turner.GasVelocityWater($C$2, $C86, $C$1), E$5, $C86, $C$1, $C$2)*1000000)/$D86</f>
        <v>1420.1531406746351</v>
      </c>
      <c r="F86" s="13" cm="1">
        <f t="array" ref="F86">(_xll.Turner.GasRateStd(_xll.Turner.GasVelocityWater($C$2, $C86, $C$1), F$5, $C86, $C$1, $C$2)*1000000)/$D86</f>
        <v>2045.020522571474</v>
      </c>
      <c r="G86" s="13" cm="1">
        <f t="array" ref="G86">(_xll.Turner.GasRateStd(_xll.Turner.GasVelocityWater($C$2, $C86, $C$1), G$5, $C86, $C$1, $C$2)*1000000)/$D86</f>
        <v>2783.5001557222845</v>
      </c>
      <c r="H86" s="13" cm="1">
        <f t="array" ref="H86">(_xll.Turner.GasRateStd(_xll.Turner.GasVelocityWater($C$2, $C86, $C$1), H$5, $C86, $C$1, $C$2)*1000000)/$D86</f>
        <v>3281.1218162146761</v>
      </c>
      <c r="I86" s="13" cm="1">
        <f t="array" ref="I86">(_xll.Turner.GasRateStd(_xll.Turner.GasVelocityWater($C$2, $C86, $C$1), I$5, $C86, $C$1, $C$2)*1000000)/$D86</f>
        <v>5126.7528378354309</v>
      </c>
      <c r="J86" s="13" cm="1">
        <f t="array" ref="J86">(_xll.Turner.GasRateStd(_xll.Turner.GasVelocityWater($C$2, $C86, $C$1), J$5, $C86, $C$1, $C$2)*1000000)/$D86</f>
        <v>7512.6101141688177</v>
      </c>
      <c r="K86" s="13" cm="1">
        <f t="array" ref="K86">(_xll.Turner.GasRateStd(_xll.Turner.GasVelocityWater($C$2, $C86, $C$1), K$5, $C86, $C$1, $C$2)*1000000)/$D86</f>
        <v>11134.000622889138</v>
      </c>
      <c r="L86" s="13" cm="1">
        <f t="array" ref="L86">(_xll.Turner.GasRateStd(_xll.Turner.GasVelocityWater($C$2, $C86, $C$1), L$5, $C86, $C$1, $C$2)*1000000)/$D86</f>
        <v>18405.18470314327</v>
      </c>
      <c r="M86" s="13" cm="1">
        <f t="array" ref="M86">(_xll.Turner.GasRateStd(_xll.Turner.GasVelocityWater($C$2, $C86, $C$1), M$5, $C86, $C$1, $C$2)*1000000)/$D86</f>
        <v>27494.164803460928</v>
      </c>
      <c r="N86" s="13" cm="1">
        <f t="array" ref="N86">(_xll.Turner.GasRateStd(_xll.Turner.GasVelocityWater($C$2, $C86, $C$1), N$5, $C86, $C$1, $C$2)*1000000)/$D86</f>
        <v>44536.002491556552</v>
      </c>
    </row>
    <row r="87" spans="3:14" hidden="1" x14ac:dyDescent="0.45">
      <c r="C87" s="12">
        <f t="shared" si="10"/>
        <v>4014.7</v>
      </c>
      <c r="D87" s="31">
        <f t="shared" si="11"/>
        <v>500</v>
      </c>
      <c r="E87" s="13" cm="1">
        <f t="array" ref="E87">(_xll.Turner.GasRateStd(_xll.Turner.GasVelocityWater($C$2, $C87, $C$1), E$5, $C87, $C$1, $C$2)*1000000)/$D87</f>
        <v>1562.562411923489</v>
      </c>
      <c r="F87" s="13" cm="1">
        <f t="array" ref="F87">(_xll.Turner.GasRateStd(_xll.Turner.GasVelocityWater($C$2, $C87, $C$1), F$5, $C87, $C$1, $C$2)*1000000)/$D87</f>
        <v>2250.0898731698244</v>
      </c>
      <c r="G87" s="13" cm="1">
        <f t="array" ref="G87">(_xll.Turner.GasRateStd(_xll.Turner.GasVelocityWater($C$2, $C87, $C$1), G$5, $C87, $C$1, $C$2)*1000000)/$D87</f>
        <v>3062.6223273700389</v>
      </c>
      <c r="H87" s="13" cm="1">
        <f t="array" ref="H87">(_xll.Turner.GasRateStd(_xll.Turner.GasVelocityWater($C$2, $C87, $C$1), H$5, $C87, $C$1, $C$2)*1000000)/$D87</f>
        <v>3610.1441965080294</v>
      </c>
      <c r="I87" s="13" cm="1">
        <f t="array" ref="I87">(_xll.Turner.GasRateStd(_xll.Turner.GasVelocityWater($C$2, $C87, $C$1), I$5, $C87, $C$1, $C$2)*1000000)/$D87</f>
        <v>5640.8503070437955</v>
      </c>
      <c r="J87" s="13" cm="1">
        <f t="array" ref="J87">(_xll.Turner.GasRateStd(_xll.Turner.GasVelocityWater($C$2, $C87, $C$1), J$5, $C87, $C$1, $C$2)*1000000)/$D87</f>
        <v>8265.9551590752581</v>
      </c>
      <c r="K87" s="13" cm="1">
        <f t="array" ref="K87">(_xll.Turner.GasRateStd(_xll.Turner.GasVelocityWater($C$2, $C87, $C$1), K$5, $C87, $C$1, $C$2)*1000000)/$D87</f>
        <v>12250.489309480155</v>
      </c>
      <c r="L87" s="13" cm="1">
        <f t="array" ref="L87">(_xll.Turner.GasRateStd(_xll.Turner.GasVelocityWater($C$2, $C87, $C$1), L$5, $C87, $C$1, $C$2)*1000000)/$D87</f>
        <v>20250.808858528417</v>
      </c>
      <c r="M87" s="13" cm="1">
        <f t="array" ref="M87">(_xll.Turner.GasRateStd(_xll.Turner.GasVelocityWater($C$2, $C87, $C$1), M$5, $C87, $C$1, $C$2)*1000000)/$D87</f>
        <v>30251.208294838751</v>
      </c>
      <c r="N87" s="13" cm="1">
        <f t="array" ref="N87">(_xll.Turner.GasRateStd(_xll.Turner.GasVelocityWater($C$2, $C87, $C$1), N$5, $C87, $C$1, $C$2)*1000000)/$D87</f>
        <v>49001.957237920622</v>
      </c>
    </row>
    <row r="88" spans="3:14" hidden="1" x14ac:dyDescent="0.45">
      <c r="C88" s="35">
        <f t="shared" si="10"/>
        <v>5014.7</v>
      </c>
      <c r="D88" s="31">
        <f t="shared" si="11"/>
        <v>500</v>
      </c>
      <c r="E88" s="13" cm="1">
        <f t="array" ref="E88">(_xll.Turner.GasRateStd(_xll.Turner.GasVelocityWater($C$2, $C88, $C$1), E$5, $C88, $C$1, $C$2)*1000000)/$D88</f>
        <v>1654.0655893371711</v>
      </c>
      <c r="F88" s="13" cm="1">
        <f t="array" ref="F88">(_xll.Turner.GasRateStd(_xll.Turner.GasVelocityWater($C$2, $C88, $C$1), F$5, $C88, $C$1, $C$2)*1000000)/$D88</f>
        <v>2381.8544486455262</v>
      </c>
      <c r="G88" s="13" cm="1">
        <f t="array" ref="G88">(_xll.Turner.GasRateStd(_xll.Turner.GasVelocityWater($C$2, $C88, $C$1), G$5, $C88, $C$1, $C$2)*1000000)/$D88</f>
        <v>3241.9685551008552</v>
      </c>
      <c r="H88" s="13" cm="1">
        <f t="array" ref="H88">(_xll.Turner.GasRateStd(_xll.Turner.GasVelocityWater($C$2, $C88, $C$1), H$5, $C88, $C$1, $C$2)*1000000)/$D88</f>
        <v>3821.5531376045992</v>
      </c>
      <c r="I88" s="13" cm="1">
        <f t="array" ref="I88">(_xll.Turner.GasRateStd(_xll.Turner.GasVelocityWater($C$2, $C88, $C$1), I$5, $C88, $C$1, $C$2)*1000000)/$D88</f>
        <v>5971.1767775071858</v>
      </c>
      <c r="J88" s="13" cm="1">
        <f t="array" ref="J88">(_xll.Turner.GasRateStd(_xll.Turner.GasVelocityWater($C$2, $C88, $C$1), J$5, $C88, $C$1, $C$2)*1000000)/$D88</f>
        <v>8750.006967593632</v>
      </c>
      <c r="K88" s="13" cm="1">
        <f t="array" ref="K88">(_xll.Turner.GasRateStd(_xll.Turner.GasVelocityWater($C$2, $C88, $C$1), K$5, $C88, $C$1, $C$2)*1000000)/$D88</f>
        <v>12967.874220403421</v>
      </c>
      <c r="L88" s="13" cm="1">
        <f t="array" ref="L88">(_xll.Turner.GasRateStd(_xll.Turner.GasVelocityWater($C$2, $C88, $C$1), L$5, $C88, $C$1, $C$2)*1000000)/$D88</f>
        <v>21436.690037809738</v>
      </c>
      <c r="M88" s="13" cm="1">
        <f t="array" ref="M88">(_xll.Turner.GasRateStd(_xll.Turner.GasVelocityWater($C$2, $C88, $C$1), M$5, $C88, $C$1, $C$2)*1000000)/$D88</f>
        <v>32022.709809567623</v>
      </c>
      <c r="N88" s="13" cm="1">
        <f t="array" ref="N88">(_xll.Turner.GasRateStd(_xll.Turner.GasVelocityWater($C$2, $C88, $C$1), N$5, $C88, $C$1, $C$2)*1000000)/$D88</f>
        <v>51871.496881613682</v>
      </c>
    </row>
    <row r="89" spans="3:14" x14ac:dyDescent="0.45">
      <c r="C89" s="12">
        <f t="shared" si="10"/>
        <v>64.7</v>
      </c>
      <c r="D89" s="31">
        <f t="shared" si="11"/>
        <v>600</v>
      </c>
      <c r="E89" s="13" cm="1">
        <f t="array" ref="E89">(_xll.Turner.GasRateStd(_xll.Turner.GasVelocityWater($C$2, $C89, $C$1), E$5, $C89, $C$1, $C$2)*1000000)/$D89</f>
        <v>165.69471641552235</v>
      </c>
      <c r="F89" s="13" cm="1">
        <f t="array" ref="F89">(_xll.Turner.GasRateStd(_xll.Turner.GasVelocityWater($C$2, $C89, $C$1), F$5, $C89, $C$1, $C$2)*1000000)/$D89</f>
        <v>238.60039163835216</v>
      </c>
      <c r="G89" s="13" cm="1">
        <f t="array" ref="G89">(_xll.Turner.GasRateStd(_xll.Turner.GasVelocityWater($C$2, $C89, $C$1), G$5, $C89, $C$1, $C$2)*1000000)/$D89</f>
        <v>324.76164417442385</v>
      </c>
      <c r="H89" s="13" cm="1">
        <f t="array" ref="H89">(_xll.Turner.GasRateStd(_xll.Turner.GasVelocityWater($C$2, $C89, $C$1), H$5, $C89, $C$1, $C$2)*1000000)/$D89</f>
        <v>382.82107280642282</v>
      </c>
      <c r="I89" s="13" cm="1">
        <f t="array" ref="I89">(_xll.Turner.GasRateStd(_xll.Turner.GasVelocityWater($C$2, $C89, $C$1), I$5, $C89, $C$1, $C$2)*1000000)/$D89</f>
        <v>598.15792626003565</v>
      </c>
      <c r="J89" s="13" cm="1">
        <f t="array" ref="J89">(_xll.Turner.GasRateStd(_xll.Turner.GasVelocityWater($C$2, $C89, $C$1), J$5, $C89, $C$1, $C$2)*1000000)/$D89</f>
        <v>876.52504983811309</v>
      </c>
      <c r="K89" s="13" cm="1">
        <f t="array" ref="K89">(_xll.Turner.GasRateStd(_xll.Turner.GasVelocityWater($C$2, $C89, $C$1), K$5, $C89, $C$1, $C$2)*1000000)/$D89</f>
        <v>1299.0465766976954</v>
      </c>
      <c r="L89" s="13" cm="1">
        <f t="array" ref="L89">(_xll.Turner.GasRateStd(_xll.Turner.GasVelocityWater($C$2, $C89, $C$1), L$5, $C89, $C$1, $C$2)*1000000)/$D89</f>
        <v>2147.4035247451698</v>
      </c>
      <c r="M89" s="13" cm="1">
        <f t="array" ref="M89">(_xll.Turner.GasRateStd(_xll.Turner.GasVelocityWater($C$2, $C89, $C$1), M$5, $C89, $C$1, $C$2)*1000000)/$D89</f>
        <v>3207.8497098045118</v>
      </c>
      <c r="N89" s="13" cm="1">
        <f t="array" ref="N89">(_xll.Turner.GasRateStd(_xll.Turner.GasVelocityWater($C$2, $C89, $C$1), N$5, $C89, $C$1, $C$2)*1000000)/$D89</f>
        <v>5196.1863067907816</v>
      </c>
    </row>
    <row r="90" spans="3:14" hidden="1" x14ac:dyDescent="0.45">
      <c r="C90" s="35">
        <f t="shared" si="10"/>
        <v>114.7</v>
      </c>
      <c r="D90" s="31">
        <f t="shared" si="11"/>
        <v>600</v>
      </c>
      <c r="E90" s="13" cm="1">
        <f t="array" ref="E90">(_xll.Turner.GasRateStd(_xll.Turner.GasVelocityWater($C$2, $C90, $C$1), E$5, $C90, $C$1, $C$2)*1000000)/$D90</f>
        <v>221.19459077955787</v>
      </c>
      <c r="F90" s="13" cm="1">
        <f t="array" ref="F90">(_xll.Turner.GasRateStd(_xll.Turner.GasVelocityWater($C$2, $C90, $C$1), F$5, $C90, $C$1, $C$2)*1000000)/$D90</f>
        <v>318.52021072256332</v>
      </c>
      <c r="G90" s="13" cm="1">
        <f t="array" ref="G90">(_xll.Turner.GasRateStd(_xll.Turner.GasVelocityWater($C$2, $C90, $C$1), G$5, $C90, $C$1, $C$2)*1000000)/$D90</f>
        <v>433.54139792793342</v>
      </c>
      <c r="H90" s="13" cm="1">
        <f t="array" ref="H90">(_xll.Turner.GasRateStd(_xll.Turner.GasVelocityWater($C$2, $C90, $C$1), H$5, $C90, $C$1, $C$2)*1000000)/$D90</f>
        <v>511.04798253709055</v>
      </c>
      <c r="I90" s="13" cm="1">
        <f t="array" ref="I90">(_xll.Turner.GasRateStd(_xll.Turner.GasVelocityWater($C$2, $C90, $C$1), I$5, $C90, $C$1, $C$2)*1000000)/$D90</f>
        <v>798.5124727142038</v>
      </c>
      <c r="J90" s="13" cm="1">
        <f t="array" ref="J90">(_xll.Turner.GasRateStd(_xll.Turner.GasVelocityWater($C$2, $C90, $C$1), J$5, $C90, $C$1, $C$2)*1000000)/$D90</f>
        <v>1170.1193852238612</v>
      </c>
      <c r="K90" s="13" cm="1">
        <f t="array" ref="K90">(_xll.Turner.GasRateStd(_xll.Turner.GasVelocityWater($C$2, $C90, $C$1), K$5, $C90, $C$1, $C$2)*1000000)/$D90</f>
        <v>1734.1655917117337</v>
      </c>
      <c r="L90" s="13" cm="1">
        <f t="array" ref="L90">(_xll.Turner.GasRateStd(_xll.Turner.GasVelocityWater($C$2, $C90, $C$1), L$5, $C90, $C$1, $C$2)*1000000)/$D90</f>
        <v>2866.6818965030698</v>
      </c>
      <c r="M90" s="13" cm="1">
        <f t="array" ref="M90">(_xll.Turner.GasRateStd(_xll.Turner.GasVelocityWater($C$2, $C90, $C$1), M$5, $C90, $C$1, $C$2)*1000000)/$D90</f>
        <v>4282.3272774922398</v>
      </c>
      <c r="N90" s="13" cm="1">
        <f t="array" ref="N90">(_xll.Turner.GasRateStd(_xll.Turner.GasVelocityWater($C$2, $C90, $C$1), N$5, $C90, $C$1, $C$2)*1000000)/$D90</f>
        <v>6936.6623668469347</v>
      </c>
    </row>
    <row r="91" spans="3:14" hidden="1" x14ac:dyDescent="0.45">
      <c r="C91" s="12">
        <f t="shared" si="10"/>
        <v>264.7</v>
      </c>
      <c r="D91" s="31">
        <f t="shared" si="11"/>
        <v>600</v>
      </c>
      <c r="E91" s="13" cm="1">
        <f t="array" ref="E91">(_xll.Turner.GasRateStd(_xll.Turner.GasVelocityWater($C$2, $C91, $C$1), E$5, $C91, $C$1, $C$2)*1000000)/$D91</f>
        <v>338.65889535321418</v>
      </c>
      <c r="F91" s="13" cm="1">
        <f t="array" ref="F91">(_xll.Turner.GasRateStd(_xll.Turner.GasVelocityWater($C$2, $C91, $C$1), F$5, $C91, $C$1, $C$2)*1000000)/$D91</f>
        <v>487.66880930862845</v>
      </c>
      <c r="G91" s="13" cm="1">
        <f t="array" ref="G91">(_xll.Turner.GasRateStd(_xll.Turner.GasVelocityWater($C$2, $C91, $C$1), G$5, $C91, $C$1, $C$2)*1000000)/$D91</f>
        <v>663.77143489229979</v>
      </c>
      <c r="H91" s="13" cm="1">
        <f t="array" ref="H91">(_xll.Turner.GasRateStd(_xll.Turner.GasVelocityWater($C$2, $C91, $C$1), H$5, $C91, $C$1, $C$2)*1000000)/$D91</f>
        <v>782.43751182406584</v>
      </c>
      <c r="I91" s="13" cm="1">
        <f t="array" ref="I91">(_xll.Turner.GasRateStd(_xll.Turner.GasVelocityWater($C$2, $C91, $C$1), I$5, $C91, $C$1, $C$2)*1000000)/$D91</f>
        <v>1222.5586122251029</v>
      </c>
      <c r="J91" s="13" cm="1">
        <f t="array" ref="J91">(_xll.Turner.GasRateStd(_xll.Turner.GasVelocityWater($C$2, $C91, $C$1), J$5, $C91, $C$1, $C$2)*1000000)/$D91</f>
        <v>1791.5055564185027</v>
      </c>
      <c r="K91" s="13" cm="1">
        <f t="array" ref="K91">(_xll.Turner.GasRateStd(_xll.Turner.GasVelocityWater($C$2, $C91, $C$1), K$5, $C91, $C$1, $C$2)*1000000)/$D91</f>
        <v>2655.0857395691992</v>
      </c>
      <c r="L91" s="13" cm="1">
        <f t="array" ref="L91">(_xll.Turner.GasRateStd(_xll.Turner.GasVelocityWater($C$2, $C91, $C$1), L$5, $C91, $C$1, $C$2)*1000000)/$D91</f>
        <v>4389.0192837776558</v>
      </c>
      <c r="M91" s="13" cm="1">
        <f t="array" ref="M91">(_xll.Turner.GasRateStd(_xll.Turner.GasVelocityWater($C$2, $C91, $C$1), M$5, $C91, $C$1, $C$2)*1000000)/$D91</f>
        <v>6556.4362140382245</v>
      </c>
      <c r="N91" s="13" cm="1">
        <f t="array" ref="N91">(_xll.Turner.GasRateStd(_xll.Turner.GasVelocityWater($C$2, $C91, $C$1), N$5, $C91, $C$1, $C$2)*1000000)/$D91</f>
        <v>10620.342958276797</v>
      </c>
    </row>
    <row r="92" spans="3:14" hidden="1" x14ac:dyDescent="0.45">
      <c r="C92" s="35">
        <f t="shared" si="10"/>
        <v>514.70000000000005</v>
      </c>
      <c r="D92" s="31">
        <f t="shared" si="11"/>
        <v>600</v>
      </c>
      <c r="E92" s="13" cm="1">
        <f t="array" ref="E92">(_xll.Turner.GasRateStd(_xll.Turner.GasVelocityWater($C$2, $C92, $C$1), E$5, $C92, $C$1, $C$2)*1000000)/$D92</f>
        <v>478.30238141746162</v>
      </c>
      <c r="F92" s="13" cm="1">
        <f t="array" ref="F92">(_xll.Turner.GasRateStd(_xll.Turner.GasVelocityWater($C$2, $C92, $C$1), F$5, $C92, $C$1, $C$2)*1000000)/$D92</f>
        <v>688.75542924114461</v>
      </c>
      <c r="G92" s="13" cm="1">
        <f t="array" ref="G92">(_xll.Turner.GasRateStd(_xll.Turner.GasVelocityWater($C$2, $C92, $C$1), G$5, $C92, $C$1, $C$2)*1000000)/$D92</f>
        <v>937.47266757822456</v>
      </c>
      <c r="H92" s="13" cm="1">
        <f t="array" ref="H92">(_xll.Turner.GasRateStd(_xll.Turner.GasVelocityWater($C$2, $C92, $C$1), H$5, $C92, $C$1, $C$2)*1000000)/$D92</f>
        <v>1105.069822026903</v>
      </c>
      <c r="I92" s="13" cm="1">
        <f t="array" ref="I92">(_xll.Turner.GasRateStd(_xll.Turner.GasVelocityWater($C$2, $C92, $C$1), I$5, $C92, $C$1, $C$2)*1000000)/$D92</f>
        <v>1726.6715969170361</v>
      </c>
      <c r="J92" s="13" cm="1">
        <f t="array" ref="J92">(_xll.Turner.GasRateStd(_xll.Turner.GasVelocityWater($C$2, $C92, $C$1), J$5, $C92, $C$1, $C$2)*1000000)/$D92</f>
        <v>2530.2195976983717</v>
      </c>
      <c r="K92" s="13" cm="1">
        <f t="array" ref="K92">(_xll.Turner.GasRateStd(_xll.Turner.GasVelocityWater($C$2, $C92, $C$1), K$5, $C92, $C$1, $C$2)*1000000)/$D92</f>
        <v>3749.8906703128982</v>
      </c>
      <c r="L92" s="13" cm="1">
        <f t="array" ref="L92">(_xll.Turner.GasRateStd(_xll.Turner.GasVelocityWater($C$2, $C92, $C$1), L$5, $C92, $C$1, $C$2)*1000000)/$D92</f>
        <v>6198.798863170301</v>
      </c>
      <c r="M92" s="13" cm="1">
        <f t="array" ref="M92">(_xll.Turner.GasRateStd(_xll.Turner.GasVelocityWater($C$2, $C92, $C$1), M$5, $C92, $C$1, $C$2)*1000000)/$D92</f>
        <v>9259.9341042420547</v>
      </c>
      <c r="N92" s="13" cm="1">
        <f t="array" ref="N92">(_xll.Turner.GasRateStd(_xll.Turner.GasVelocityWater($C$2, $C92, $C$1), N$5, $C92, $C$1, $C$2)*1000000)/$D92</f>
        <v>14999.562681251593</v>
      </c>
    </row>
    <row r="93" spans="3:14" hidden="1" x14ac:dyDescent="0.45">
      <c r="C93" s="12">
        <f t="shared" si="10"/>
        <v>1014.7</v>
      </c>
      <c r="D93" s="31">
        <f t="shared" si="11"/>
        <v>600</v>
      </c>
      <c r="E93" s="13" cm="1">
        <f t="array" ref="E93">(_xll.Turner.GasRateStd(_xll.Turner.GasVelocityWater($C$2, $C93, $C$1), E$5, $C93, $C$1, $C$2)*1000000)/$D93</f>
        <v>687.26191823334875</v>
      </c>
      <c r="F93" s="13" cm="1">
        <f t="array" ref="F93">(_xll.Turner.GasRateStd(_xll.Turner.GasVelocityWater($C$2, $C93, $C$1), F$5, $C93, $C$1, $C$2)*1000000)/$D93</f>
        <v>989.65716225602193</v>
      </c>
      <c r="G93" s="13" cm="1">
        <f t="array" ref="G93">(_xll.Turner.GasRateStd(_xll.Turner.GasVelocityWater($C$2, $C93, $C$1), G$5, $C93, $C$1, $C$2)*1000000)/$D93</f>
        <v>1347.0333597373635</v>
      </c>
      <c r="H93" s="13" cm="1">
        <f t="array" ref="H93">(_xll.Turner.GasRateStd(_xll.Turner.GasVelocityWater($C$2, $C93, $C$1), H$5, $C93, $C$1, $C$2)*1000000)/$D93</f>
        <v>1587.8499358863287</v>
      </c>
      <c r="I93" s="13" cm="1">
        <f t="array" ref="I93">(_xll.Turner.GasRateStd(_xll.Turner.GasVelocityWater($C$2, $C93, $C$1), I$5, $C93, $C$1, $C$2)*1000000)/$D93</f>
        <v>2481.0155248223887</v>
      </c>
      <c r="J93" s="13" cm="1">
        <f t="array" ref="J93">(_xll.Turner.GasRateStd(_xll.Turner.GasVelocityWater($C$2, $C93, $C$1), J$5, $C93, $C$1, $C$2)*1000000)/$D93</f>
        <v>3635.6155474544139</v>
      </c>
      <c r="K93" s="13" cm="1">
        <f t="array" ref="K93">(_xll.Turner.GasRateStd(_xll.Turner.GasVelocityWater($C$2, $C93, $C$1), K$5, $C93, $C$1, $C$2)*1000000)/$D93</f>
        <v>5388.1334389494541</v>
      </c>
      <c r="L93" s="13" cm="1">
        <f t="array" ref="L93">(_xll.Turner.GasRateStd(_xll.Turner.GasVelocityWater($C$2, $C93, $C$1), L$5, $C93, $C$1, $C$2)*1000000)/$D93</f>
        <v>8906.9144603041987</v>
      </c>
      <c r="M93" s="13" cm="1">
        <f t="array" ref="M93">(_xll.Turner.GasRateStd(_xll.Turner.GasVelocityWater($C$2, $C93, $C$1), M$5, $C93, $C$1, $C$2)*1000000)/$D93</f>
        <v>13305.390736997626</v>
      </c>
      <c r="N93" s="13" cm="1">
        <f t="array" ref="N93">(_xll.Turner.GasRateStd(_xll.Turner.GasVelocityWater($C$2, $C93, $C$1), N$5, $C93, $C$1, $C$2)*1000000)/$D93</f>
        <v>21552.533755797816</v>
      </c>
    </row>
    <row r="94" spans="3:14" hidden="1" x14ac:dyDescent="0.45">
      <c r="C94" s="35">
        <f t="shared" si="10"/>
        <v>2014.7</v>
      </c>
      <c r="D94" s="31">
        <f t="shared" si="11"/>
        <v>600</v>
      </c>
      <c r="E94" s="13" cm="1">
        <f t="array" ref="E94">(_xll.Turner.GasRateStd(_xll.Turner.GasVelocityWater($C$2, $C94, $C$1), E$5, $C94, $C$1, $C$2)*1000000)/$D94</f>
        <v>989.65706279459368</v>
      </c>
      <c r="F94" s="13" cm="1">
        <f t="array" ref="F94">(_xll.Turner.GasRateStd(_xll.Turner.GasVelocityWater($C$2, $C94, $C$1), F$5, $C94, $C$1, $C$2)*1000000)/$D94</f>
        <v>1425.1061704242147</v>
      </c>
      <c r="G94" s="13" cm="1">
        <f t="array" ref="G94">(_xll.Turner.GasRateStd(_xll.Turner.GasVelocityWater($C$2, $C94, $C$1), G$5, $C94, $C$1, $C$2)*1000000)/$D94</f>
        <v>1939.727843077404</v>
      </c>
      <c r="H94" s="13" cm="1">
        <f t="array" ref="H94">(_xll.Turner.GasRateStd(_xll.Turner.GasVelocityWater($C$2, $C94, $C$1), H$5, $C94, $C$1, $C$2)*1000000)/$D94</f>
        <v>2286.5036778806284</v>
      </c>
      <c r="I94" s="13" cm="1">
        <f t="array" ref="I94">(_xll.Turner.GasRateStd(_xll.Turner.GasVelocityWater($C$2, $C94, $C$1), I$5, $C94, $C$1, $C$2)*1000000)/$D94</f>
        <v>3572.6619966884818</v>
      </c>
      <c r="J94" s="13" cm="1">
        <f t="array" ref="J94">(_xll.Turner.GasRateStd(_xll.Turner.GasVelocityWater($C$2, $C94, $C$1), J$5, $C94, $C$1, $C$2)*1000000)/$D94</f>
        <v>5235.2858621834002</v>
      </c>
      <c r="K94" s="13" cm="1">
        <f t="array" ref="K94">(_xll.Turner.GasRateStd(_xll.Turner.GasVelocityWater($C$2, $C94, $C$1), K$5, $C94, $C$1, $C$2)*1000000)/$D94</f>
        <v>7758.9113723096161</v>
      </c>
      <c r="L94" s="13" cm="1">
        <f t="array" ref="L94">(_xll.Turner.GasRateStd(_xll.Turner.GasVelocityWater($C$2, $C94, $C$1), L$5, $C94, $C$1, $C$2)*1000000)/$D94</f>
        <v>12825.955533817934</v>
      </c>
      <c r="M94" s="13" cm="1">
        <f t="array" ref="M94">(_xll.Turner.GasRateStd(_xll.Turner.GasVelocityWater($C$2, $C94, $C$1), M$5, $C94, $C$1, $C$2)*1000000)/$D94</f>
        <v>19159.760735703327</v>
      </c>
      <c r="N94" s="13" cm="1">
        <f t="array" ref="N94">(_xll.Turner.GasRateStd(_xll.Turner.GasVelocityWater($C$2, $C94, $C$1), N$5, $C94, $C$1, $C$2)*1000000)/$D94</f>
        <v>31035.645489238465</v>
      </c>
    </row>
    <row r="95" spans="3:14" hidden="1" x14ac:dyDescent="0.45">
      <c r="C95" s="12">
        <f t="shared" si="10"/>
        <v>3014.7</v>
      </c>
      <c r="D95" s="31">
        <f t="shared" si="11"/>
        <v>600</v>
      </c>
      <c r="E95" s="13" cm="1">
        <f t="array" ref="E95">(_xll.Turner.GasRateStd(_xll.Turner.GasVelocityWater($C$2, $C95, $C$1), E$5, $C95, $C$1, $C$2)*1000000)/$D95</f>
        <v>1183.4609505621959</v>
      </c>
      <c r="F95" s="13" cm="1">
        <f t="array" ref="F95">(_xll.Turner.GasRateStd(_xll.Turner.GasVelocityWater($C$2, $C95, $C$1), F$5, $C95, $C$1, $C$2)*1000000)/$D95</f>
        <v>1704.1837688095618</v>
      </c>
      <c r="G95" s="13" cm="1">
        <f t="array" ref="G95">(_xll.Turner.GasRateStd(_xll.Turner.GasVelocityWater($C$2, $C95, $C$1), G$5, $C95, $C$1, $C$2)*1000000)/$D95</f>
        <v>2319.5834631019038</v>
      </c>
      <c r="H95" s="13" cm="1">
        <f t="array" ref="H95">(_xll.Turner.GasRateStd(_xll.Turner.GasVelocityWater($C$2, $C95, $C$1), H$5, $C95, $C$1, $C$2)*1000000)/$D95</f>
        <v>2734.2681801788967</v>
      </c>
      <c r="I95" s="13" cm="1">
        <f t="array" ref="I95">(_xll.Turner.GasRateStd(_xll.Turner.GasVelocityWater($C$2, $C95, $C$1), I$5, $C95, $C$1, $C$2)*1000000)/$D95</f>
        <v>4272.2940315295264</v>
      </c>
      <c r="J95" s="13" cm="1">
        <f t="array" ref="J95">(_xll.Turner.GasRateStd(_xll.Turner.GasVelocityWater($C$2, $C95, $C$1), J$5, $C95, $C$1, $C$2)*1000000)/$D95</f>
        <v>6260.5084284740151</v>
      </c>
      <c r="K95" s="13" cm="1">
        <f t="array" ref="K95">(_xll.Turner.GasRateStd(_xll.Turner.GasVelocityWater($C$2, $C95, $C$1), K$5, $C95, $C$1, $C$2)*1000000)/$D95</f>
        <v>9278.3338524076153</v>
      </c>
      <c r="L95" s="13" cm="1">
        <f t="array" ref="L95">(_xll.Turner.GasRateStd(_xll.Turner.GasVelocityWater($C$2, $C95, $C$1), L$5, $C95, $C$1, $C$2)*1000000)/$D95</f>
        <v>15337.653919286058</v>
      </c>
      <c r="M95" s="13" cm="1">
        <f t="array" ref="M95">(_xll.Turner.GasRateStd(_xll.Turner.GasVelocityWater($C$2, $C95, $C$1), M$5, $C95, $C$1, $C$2)*1000000)/$D95</f>
        <v>22911.80400288411</v>
      </c>
      <c r="N95" s="13" cm="1">
        <f t="array" ref="N95">(_xll.Turner.GasRateStd(_xll.Turner.GasVelocityWater($C$2, $C95, $C$1), N$5, $C95, $C$1, $C$2)*1000000)/$D95</f>
        <v>37113.335409630461</v>
      </c>
    </row>
    <row r="96" spans="3:14" hidden="1" x14ac:dyDescent="0.45">
      <c r="C96" s="35">
        <f t="shared" si="10"/>
        <v>4014.7</v>
      </c>
      <c r="D96" s="31">
        <f t="shared" si="11"/>
        <v>600</v>
      </c>
      <c r="E96" s="13" cm="1">
        <f t="array" ref="E96">(_xll.Turner.GasRateStd(_xll.Turner.GasVelocityWater($C$2, $C96, $C$1), E$5, $C96, $C$1, $C$2)*1000000)/$D96</f>
        <v>1302.1353432695742</v>
      </c>
      <c r="F96" s="13" cm="1">
        <f t="array" ref="F96">(_xll.Turner.GasRateStd(_xll.Turner.GasVelocityWater($C$2, $C96, $C$1), F$5, $C96, $C$1, $C$2)*1000000)/$D96</f>
        <v>1875.0748943081871</v>
      </c>
      <c r="G96" s="13" cm="1">
        <f t="array" ref="G96">(_xll.Turner.GasRateStd(_xll.Turner.GasVelocityWater($C$2, $C96, $C$1), G$5, $C96, $C$1, $C$2)*1000000)/$D96</f>
        <v>2552.1852728083654</v>
      </c>
      <c r="H96" s="13" cm="1">
        <f t="array" ref="H96">(_xll.Turner.GasRateStd(_xll.Turner.GasVelocityWater($C$2, $C96, $C$1), H$5, $C96, $C$1, $C$2)*1000000)/$D96</f>
        <v>3008.4534970900245</v>
      </c>
      <c r="I96" s="13" cm="1">
        <f t="array" ref="I96">(_xll.Turner.GasRateStd(_xll.Turner.GasVelocityWater($C$2, $C96, $C$1), I$5, $C96, $C$1, $C$2)*1000000)/$D96</f>
        <v>4700.7085892031628</v>
      </c>
      <c r="J96" s="13" cm="1">
        <f t="array" ref="J96">(_xll.Turner.GasRateStd(_xll.Turner.GasVelocityWater($C$2, $C96, $C$1), J$5, $C96, $C$1, $C$2)*1000000)/$D96</f>
        <v>6888.2959658960481</v>
      </c>
      <c r="K96" s="13" cm="1">
        <f t="array" ref="K96">(_xll.Turner.GasRateStd(_xll.Turner.GasVelocityWater($C$2, $C96, $C$1), K$5, $C96, $C$1, $C$2)*1000000)/$D96</f>
        <v>10208.741091233462</v>
      </c>
      <c r="L96" s="13" cm="1">
        <f t="array" ref="L96">(_xll.Turner.GasRateStd(_xll.Turner.GasVelocityWater($C$2, $C96, $C$1), L$5, $C96, $C$1, $C$2)*1000000)/$D96</f>
        <v>16875.674048773679</v>
      </c>
      <c r="M96" s="13" cm="1">
        <f t="array" ref="M96">(_xll.Turner.GasRateStd(_xll.Turner.GasVelocityWater($C$2, $C96, $C$1), M$5, $C96, $C$1, $C$2)*1000000)/$D96</f>
        <v>25209.340245698957</v>
      </c>
      <c r="N96" s="13" cm="1">
        <f t="array" ref="N96">(_xll.Turner.GasRateStd(_xll.Turner.GasVelocityWater($C$2, $C96, $C$1), N$5, $C96, $C$1, $C$2)*1000000)/$D96</f>
        <v>40834.964364933847</v>
      </c>
    </row>
    <row r="97" spans="3:14" hidden="1" x14ac:dyDescent="0.45">
      <c r="C97" s="12">
        <f t="shared" si="10"/>
        <v>5014.7</v>
      </c>
      <c r="D97" s="31">
        <f t="shared" si="11"/>
        <v>600</v>
      </c>
      <c r="E97" s="13" cm="1">
        <f t="array" ref="E97">(_xll.Turner.GasRateStd(_xll.Turner.GasVelocityWater($C$2, $C97, $C$1), E$5, $C97, $C$1, $C$2)*1000000)/$D97</f>
        <v>1378.3879911143092</v>
      </c>
      <c r="F97" s="13" cm="1">
        <f t="array" ref="F97">(_xll.Turner.GasRateStd(_xll.Turner.GasVelocityWater($C$2, $C97, $C$1), F$5, $C97, $C$1, $C$2)*1000000)/$D97</f>
        <v>1984.878707204605</v>
      </c>
      <c r="G97" s="13" cm="1">
        <f t="array" ref="G97">(_xll.Turner.GasRateStd(_xll.Turner.GasVelocityWater($C$2, $C97, $C$1), G$5, $C97, $C$1, $C$2)*1000000)/$D97</f>
        <v>2701.640462584046</v>
      </c>
      <c r="H97" s="13" cm="1">
        <f t="array" ref="H97">(_xll.Turner.GasRateStd(_xll.Turner.GasVelocityWater($C$2, $C97, $C$1), H$5, $C97, $C$1, $C$2)*1000000)/$D97</f>
        <v>3184.6276146704995</v>
      </c>
      <c r="I97" s="13" cm="1">
        <f t="array" ref="I97">(_xll.Turner.GasRateStd(_xll.Turner.GasVelocityWater($C$2, $C97, $C$1), I$5, $C97, $C$1, $C$2)*1000000)/$D97</f>
        <v>4975.9806479226545</v>
      </c>
      <c r="J97" s="13" cm="1">
        <f t="array" ref="J97">(_xll.Turner.GasRateStd(_xll.Turner.GasVelocityWater($C$2, $C97, $C$1), J$5, $C97, $C$1, $C$2)*1000000)/$D97</f>
        <v>7291.6724729946936</v>
      </c>
      <c r="K97" s="13" cm="1">
        <f t="array" ref="K97">(_xll.Turner.GasRateStd(_xll.Turner.GasVelocityWater($C$2, $C97, $C$1), K$5, $C97, $C$1, $C$2)*1000000)/$D97</f>
        <v>10806.561850336184</v>
      </c>
      <c r="L97" s="13" cm="1">
        <f t="array" ref="L97">(_xll.Turner.GasRateStd(_xll.Turner.GasVelocityWater($C$2, $C97, $C$1), L$5, $C97, $C$1, $C$2)*1000000)/$D97</f>
        <v>17863.908364841449</v>
      </c>
      <c r="M97" s="13" cm="1">
        <f t="array" ref="M97">(_xll.Turner.GasRateStd(_xll.Turner.GasVelocityWater($C$2, $C97, $C$1), M$5, $C97, $C$1, $C$2)*1000000)/$D97</f>
        <v>26685.591507973018</v>
      </c>
      <c r="N97" s="13" cm="1">
        <f t="array" ref="N97">(_xll.Turner.GasRateStd(_xll.Turner.GasVelocityWater($C$2, $C97, $C$1), N$5, $C97, $C$1, $C$2)*1000000)/$D97</f>
        <v>43226.247401344735</v>
      </c>
    </row>
    <row r="98" spans="3:14" x14ac:dyDescent="0.45">
      <c r="C98" s="35">
        <f t="shared" si="10"/>
        <v>64.7</v>
      </c>
      <c r="D98" s="31">
        <f t="shared" si="11"/>
        <v>700</v>
      </c>
      <c r="E98" s="13" cm="1">
        <f t="array" ref="E98">(_xll.Turner.GasRateStd(_xll.Turner.GasVelocityWater($C$2, $C98, $C$1), E$5, $C98, $C$1, $C$2)*1000000)/$D98</f>
        <v>142.02404264187629</v>
      </c>
      <c r="F98" s="13" cm="1">
        <f t="array" ref="F98">(_xll.Turner.GasRateStd(_xll.Turner.GasVelocityWater($C$2, $C98, $C$1), F$5, $C98, $C$1, $C$2)*1000000)/$D98</f>
        <v>204.51462140430186</v>
      </c>
      <c r="G98" s="13" cm="1">
        <f t="array" ref="G98">(_xll.Turner.GasRateStd(_xll.Turner.GasVelocityWater($C$2, $C98, $C$1), G$5, $C98, $C$1, $C$2)*1000000)/$D98</f>
        <v>278.36712357807761</v>
      </c>
      <c r="H98" s="13" cm="1">
        <f t="array" ref="H98">(_xll.Turner.GasRateStd(_xll.Turner.GasVelocityWater($C$2, $C98, $C$1), H$5, $C98, $C$1, $C$2)*1000000)/$D98</f>
        <v>328.13234811979095</v>
      </c>
      <c r="I98" s="13" cm="1">
        <f t="array" ref="I98">(_xll.Turner.GasRateStd(_xll.Turner.GasVelocityWater($C$2, $C98, $C$1), I$5, $C98, $C$1, $C$2)*1000000)/$D98</f>
        <v>512.70679393717342</v>
      </c>
      <c r="J98" s="13" cm="1">
        <f t="array" ref="J98">(_xll.Turner.GasRateStd(_xll.Turner.GasVelocityWater($C$2, $C98, $C$1), J$5, $C98, $C$1, $C$2)*1000000)/$D98</f>
        <v>751.30718557552552</v>
      </c>
      <c r="K98" s="13" cm="1">
        <f t="array" ref="K98">(_xll.Turner.GasRateStd(_xll.Turner.GasVelocityWater($C$2, $C98, $C$1), K$5, $C98, $C$1, $C$2)*1000000)/$D98</f>
        <v>1113.4684943123104</v>
      </c>
      <c r="L98" s="13" cm="1">
        <f t="array" ref="L98">(_xll.Turner.GasRateStd(_xll.Turner.GasVelocityWater($C$2, $C98, $C$1), L$5, $C98, $C$1, $C$2)*1000000)/$D98</f>
        <v>1840.6315926387172</v>
      </c>
      <c r="M98" s="13" cm="1">
        <f t="array" ref="M98">(_xll.Turner.GasRateStd(_xll.Turner.GasVelocityWater($C$2, $C98, $C$1), M$5, $C98, $C$1, $C$2)*1000000)/$D98</f>
        <v>2749.5854655467242</v>
      </c>
      <c r="N98" s="13" cm="1">
        <f t="array" ref="N98">(_xll.Turner.GasRateStd(_xll.Turner.GasVelocityWater($C$2, $C98, $C$1), N$5, $C98, $C$1, $C$2)*1000000)/$D98</f>
        <v>4453.8739772492418</v>
      </c>
    </row>
    <row r="99" spans="3:14" hidden="1" x14ac:dyDescent="0.45">
      <c r="C99" s="12">
        <f t="shared" si="10"/>
        <v>114.7</v>
      </c>
      <c r="D99" s="31">
        <f t="shared" si="11"/>
        <v>700</v>
      </c>
      <c r="E99" s="13" cm="1">
        <f t="array" ref="E99">(_xll.Turner.GasRateStd(_xll.Turner.GasVelocityWater($C$2, $C99, $C$1), E$5, $C99, $C$1, $C$2)*1000000)/$D99</f>
        <v>189.5953635253353</v>
      </c>
      <c r="F99" s="13" cm="1">
        <f t="array" ref="F99">(_xll.Turner.GasRateStd(_xll.Turner.GasVelocityWater($C$2, $C99, $C$1), F$5, $C99, $C$1, $C$2)*1000000)/$D99</f>
        <v>273.01732347648283</v>
      </c>
      <c r="G99" s="13" cm="1">
        <f t="array" ref="G99">(_xll.Turner.GasRateStd(_xll.Turner.GasVelocityWater($C$2, $C99, $C$1), G$5, $C99, $C$1, $C$2)*1000000)/$D99</f>
        <v>371.60691250965721</v>
      </c>
      <c r="H99" s="13" cm="1">
        <f t="array" ref="H99">(_xll.Turner.GasRateStd(_xll.Turner.GasVelocityWater($C$2, $C99, $C$1), H$5, $C99, $C$1, $C$2)*1000000)/$D99</f>
        <v>438.04112788893474</v>
      </c>
      <c r="I99" s="13" cm="1">
        <f t="array" ref="I99">(_xll.Turner.GasRateStd(_xll.Turner.GasVelocityWater($C$2, $C99, $C$1), I$5, $C99, $C$1, $C$2)*1000000)/$D99</f>
        <v>684.43926232646038</v>
      </c>
      <c r="J99" s="13" cm="1">
        <f t="array" ref="J99">(_xll.Turner.GasRateStd(_xll.Turner.GasVelocityWater($C$2, $C99, $C$1), J$5, $C99, $C$1, $C$2)*1000000)/$D99</f>
        <v>1002.9594730490238</v>
      </c>
      <c r="K99" s="13" cm="1">
        <f t="array" ref="K99">(_xll.Turner.GasRateStd(_xll.Turner.GasVelocityWater($C$2, $C99, $C$1), K$5, $C99, $C$1, $C$2)*1000000)/$D99</f>
        <v>1486.4276500386288</v>
      </c>
      <c r="L99" s="13" cm="1">
        <f t="array" ref="L99">(_xll.Turner.GasRateStd(_xll.Turner.GasVelocityWater($C$2, $C99, $C$1), L$5, $C99, $C$1, $C$2)*1000000)/$D99</f>
        <v>2457.1559112883456</v>
      </c>
      <c r="M99" s="13" cm="1">
        <f t="array" ref="M99">(_xll.Turner.GasRateStd(_xll.Turner.GasVelocityWater($C$2, $C99, $C$1), M$5, $C99, $C$1, $C$2)*1000000)/$D99</f>
        <v>3670.5662378504912</v>
      </c>
      <c r="N99" s="13" cm="1">
        <f t="array" ref="N99">(_xll.Turner.GasRateStd(_xll.Turner.GasVelocityWater($C$2, $C99, $C$1), N$5, $C99, $C$1, $C$2)*1000000)/$D99</f>
        <v>5945.7106001545153</v>
      </c>
    </row>
    <row r="100" spans="3:14" hidden="1" x14ac:dyDescent="0.45">
      <c r="C100" s="35">
        <f t="shared" si="10"/>
        <v>264.7</v>
      </c>
      <c r="D100" s="31">
        <f t="shared" si="11"/>
        <v>700</v>
      </c>
      <c r="E100" s="13" cm="1">
        <f t="array" ref="E100">(_xll.Turner.GasRateStd(_xll.Turner.GasVelocityWater($C$2, $C100, $C$1), E$5, $C100, $C$1, $C$2)*1000000)/$D100</f>
        <v>290.27905315989784</v>
      </c>
      <c r="F100" s="13" cm="1">
        <f t="array" ref="F100">(_xll.Turner.GasRateStd(_xll.Turner.GasVelocityWater($C$2, $C100, $C$1), F$5, $C100, $C$1, $C$2)*1000000)/$D100</f>
        <v>418.00183655025296</v>
      </c>
      <c r="G100" s="13" cm="1">
        <f t="array" ref="G100">(_xll.Turner.GasRateStd(_xll.Turner.GasVelocityWater($C$2, $C100, $C$1), G$5, $C100, $C$1, $C$2)*1000000)/$D100</f>
        <v>568.94694419339976</v>
      </c>
      <c r="H100" s="13" cm="1">
        <f t="array" ref="H100">(_xll.Turner.GasRateStd(_xll.Turner.GasVelocityWater($C$2, $C100, $C$1), H$5, $C100, $C$1, $C$2)*1000000)/$D100</f>
        <v>670.66072442062784</v>
      </c>
      <c r="I100" s="13" cm="1">
        <f t="array" ref="I100">(_xll.Turner.GasRateStd(_xll.Turner.GasVelocityWater($C$2, $C100, $C$1), I$5, $C100, $C$1, $C$2)*1000000)/$D100</f>
        <v>1047.907381907231</v>
      </c>
      <c r="J100" s="13" cm="1">
        <f t="array" ref="J100">(_xll.Turner.GasRateStd(_xll.Turner.GasVelocityWater($C$2, $C100, $C$1), J$5, $C100, $C$1, $C$2)*1000000)/$D100</f>
        <v>1535.5761912158594</v>
      </c>
      <c r="K100" s="13" cm="1">
        <f t="array" ref="K100">(_xll.Turner.GasRateStd(_xll.Turner.GasVelocityWater($C$2, $C100, $C$1), K$5, $C100, $C$1, $C$2)*1000000)/$D100</f>
        <v>2275.787776773599</v>
      </c>
      <c r="L100" s="13" cm="1">
        <f t="array" ref="L100">(_xll.Turner.GasRateStd(_xll.Turner.GasVelocityWater($C$2, $C100, $C$1), L$5, $C100, $C$1, $C$2)*1000000)/$D100</f>
        <v>3762.0165289522761</v>
      </c>
      <c r="M100" s="13" cm="1">
        <f t="array" ref="M100">(_xll.Turner.GasRateStd(_xll.Turner.GasVelocityWater($C$2, $C100, $C$1), M$5, $C100, $C$1, $C$2)*1000000)/$D100</f>
        <v>5619.8024691756209</v>
      </c>
      <c r="N100" s="13" cm="1">
        <f t="array" ref="N100">(_xll.Turner.GasRateStd(_xll.Turner.GasVelocityWater($C$2, $C100, $C$1), N$5, $C100, $C$1, $C$2)*1000000)/$D100</f>
        <v>9103.1511070943961</v>
      </c>
    </row>
    <row r="101" spans="3:14" hidden="1" x14ac:dyDescent="0.45">
      <c r="C101" s="12">
        <f t="shared" si="10"/>
        <v>514.70000000000005</v>
      </c>
      <c r="D101" s="31">
        <f t="shared" si="11"/>
        <v>700</v>
      </c>
      <c r="E101" s="13" cm="1">
        <f t="array" ref="E101">(_xll.Turner.GasRateStd(_xll.Turner.GasVelocityWater($C$2, $C101, $C$1), E$5, $C101, $C$1, $C$2)*1000000)/$D101</f>
        <v>409.9734697863957</v>
      </c>
      <c r="F101" s="13" cm="1">
        <f t="array" ref="F101">(_xll.Turner.GasRateStd(_xll.Turner.GasVelocityWater($C$2, $C101, $C$1), F$5, $C101, $C$1, $C$2)*1000000)/$D101</f>
        <v>590.36179649240967</v>
      </c>
      <c r="G101" s="13" cm="1">
        <f t="array" ref="G101">(_xll.Turner.GasRateStd(_xll.Turner.GasVelocityWater($C$2, $C101, $C$1), G$5, $C101, $C$1, $C$2)*1000000)/$D101</f>
        <v>803.54800078133542</v>
      </c>
      <c r="H101" s="13" cm="1">
        <f t="array" ref="H101">(_xll.Turner.GasRateStd(_xll.Turner.GasVelocityWater($C$2, $C101, $C$1), H$5, $C101, $C$1, $C$2)*1000000)/$D101</f>
        <v>947.20270459448841</v>
      </c>
      <c r="I101" s="13" cm="1">
        <f t="array" ref="I101">(_xll.Turner.GasRateStd(_xll.Turner.GasVelocityWater($C$2, $C101, $C$1), I$5, $C101, $C$1, $C$2)*1000000)/$D101</f>
        <v>1480.0042259288882</v>
      </c>
      <c r="J101" s="13" cm="1">
        <f t="array" ref="J101">(_xll.Turner.GasRateStd(_xll.Turner.GasVelocityWater($C$2, $C101, $C$1), J$5, $C101, $C$1, $C$2)*1000000)/$D101</f>
        <v>2168.7596551700331</v>
      </c>
      <c r="K101" s="13" cm="1">
        <f t="array" ref="K101">(_xll.Turner.GasRateStd(_xll.Turner.GasVelocityWater($C$2, $C101, $C$1), K$5, $C101, $C$1, $C$2)*1000000)/$D101</f>
        <v>3214.1920031253417</v>
      </c>
      <c r="L101" s="13" cm="1">
        <f t="array" ref="L101">(_xll.Turner.GasRateStd(_xll.Turner.GasVelocityWater($C$2, $C101, $C$1), L$5, $C101, $C$1, $C$2)*1000000)/$D101</f>
        <v>5313.256168431687</v>
      </c>
      <c r="M101" s="13" cm="1">
        <f t="array" ref="M101">(_xll.Turner.GasRateStd(_xll.Turner.GasVelocityWater($C$2, $C101, $C$1), M$5, $C101, $C$1, $C$2)*1000000)/$D101</f>
        <v>7937.0863750646186</v>
      </c>
      <c r="N101" s="13" cm="1">
        <f t="array" ref="N101">(_xll.Turner.GasRateStd(_xll.Turner.GasVelocityWater($C$2, $C101, $C$1), N$5, $C101, $C$1, $C$2)*1000000)/$D101</f>
        <v>12856.768012501367</v>
      </c>
    </row>
    <row r="102" spans="3:14" hidden="1" x14ac:dyDescent="0.45">
      <c r="C102" s="35">
        <f t="shared" si="10"/>
        <v>1014.7</v>
      </c>
      <c r="D102" s="31">
        <f t="shared" si="11"/>
        <v>700</v>
      </c>
      <c r="E102" s="13" cm="1">
        <f t="array" ref="E102">(_xll.Turner.GasRateStd(_xll.Turner.GasVelocityWater($C$2, $C102, $C$1), E$5, $C102, $C$1, $C$2)*1000000)/$D102</f>
        <v>589.08164420001322</v>
      </c>
      <c r="F102" s="13" cm="1">
        <f t="array" ref="F102">(_xll.Turner.GasRateStd(_xll.Turner.GasVelocityWater($C$2, $C102, $C$1), F$5, $C102, $C$1, $C$2)*1000000)/$D102</f>
        <v>848.27756764801882</v>
      </c>
      <c r="G102" s="13" cm="1">
        <f t="array" ref="G102">(_xll.Turner.GasRateStd(_xll.Turner.GasVelocityWater($C$2, $C102, $C$1), G$5, $C102, $C$1, $C$2)*1000000)/$D102</f>
        <v>1154.6000226320259</v>
      </c>
      <c r="H102" s="13" cm="1">
        <f t="array" ref="H102">(_xll.Turner.GasRateStd(_xll.Turner.GasVelocityWater($C$2, $C102, $C$1), H$5, $C102, $C$1, $C$2)*1000000)/$D102</f>
        <v>1361.0142307597102</v>
      </c>
      <c r="I102" s="13" cm="1">
        <f t="array" ref="I102">(_xll.Turner.GasRateStd(_xll.Turner.GasVelocityWater($C$2, $C102, $C$1), I$5, $C102, $C$1, $C$2)*1000000)/$D102</f>
        <v>2126.5847355620472</v>
      </c>
      <c r="J102" s="13" cm="1">
        <f t="array" ref="J102">(_xll.Turner.GasRateStd(_xll.Turner.GasVelocityWater($C$2, $C102, $C$1), J$5, $C102, $C$1, $C$2)*1000000)/$D102</f>
        <v>3116.241897818069</v>
      </c>
      <c r="K102" s="13" cm="1">
        <f t="array" ref="K102">(_xll.Turner.GasRateStd(_xll.Turner.GasVelocityWater($C$2, $C102, $C$1), K$5, $C102, $C$1, $C$2)*1000000)/$D102</f>
        <v>4618.4000905281036</v>
      </c>
      <c r="L102" s="13" cm="1">
        <f t="array" ref="L102">(_xll.Turner.GasRateStd(_xll.Turner.GasVelocityWater($C$2, $C102, $C$1), L$5, $C102, $C$1, $C$2)*1000000)/$D102</f>
        <v>7634.4981088321711</v>
      </c>
      <c r="M102" s="13" cm="1">
        <f t="array" ref="M102">(_xll.Turner.GasRateStd(_xll.Turner.GasVelocityWater($C$2, $C102, $C$1), M$5, $C102, $C$1, $C$2)*1000000)/$D102</f>
        <v>11404.620631712251</v>
      </c>
      <c r="N102" s="13" cm="1">
        <f t="array" ref="N102">(_xll.Turner.GasRateStd(_xll.Turner.GasVelocityWater($C$2, $C102, $C$1), N$5, $C102, $C$1, $C$2)*1000000)/$D102</f>
        <v>18473.600362112415</v>
      </c>
    </row>
    <row r="103" spans="3:14" hidden="1" x14ac:dyDescent="0.45">
      <c r="C103" s="12">
        <f t="shared" si="10"/>
        <v>2014.7</v>
      </c>
      <c r="D103" s="31">
        <f t="shared" si="11"/>
        <v>700</v>
      </c>
      <c r="E103" s="13" cm="1">
        <f t="array" ref="E103">(_xll.Turner.GasRateStd(_xll.Turner.GasVelocityWater($C$2, $C103, $C$1), E$5, $C103, $C$1, $C$2)*1000000)/$D103</f>
        <v>848.27748239536606</v>
      </c>
      <c r="F103" s="13" cm="1">
        <f t="array" ref="F103">(_xll.Turner.GasRateStd(_xll.Turner.GasVelocityWater($C$2, $C103, $C$1), F$5, $C103, $C$1, $C$2)*1000000)/$D103</f>
        <v>1221.5195746493271</v>
      </c>
      <c r="G103" s="13" cm="1">
        <f t="array" ref="G103">(_xll.Turner.GasRateStd(_xll.Turner.GasVelocityWater($C$2, $C103, $C$1), G$5, $C103, $C$1, $C$2)*1000000)/$D103</f>
        <v>1662.6238654949177</v>
      </c>
      <c r="H103" s="13" cm="1">
        <f t="array" ref="H103">(_xll.Turner.GasRateStd(_xll.Turner.GasVelocityWater($C$2, $C103, $C$1), H$5, $C103, $C$1, $C$2)*1000000)/$D103</f>
        <v>1959.860295326253</v>
      </c>
      <c r="I103" s="13" cm="1">
        <f t="array" ref="I103">(_xll.Turner.GasRateStd(_xll.Turner.GasVelocityWater($C$2, $C103, $C$1), I$5, $C103, $C$1, $C$2)*1000000)/$D103</f>
        <v>3062.28171144727</v>
      </c>
      <c r="J103" s="13" cm="1">
        <f t="array" ref="J103">(_xll.Turner.GasRateStd(_xll.Turner.GasVelocityWater($C$2, $C103, $C$1), J$5, $C103, $C$1, $C$2)*1000000)/$D103</f>
        <v>4487.3878818714857</v>
      </c>
      <c r="K103" s="13" cm="1">
        <f t="array" ref="K103">(_xll.Turner.GasRateStd(_xll.Turner.GasVelocityWater($C$2, $C103, $C$1), K$5, $C103, $C$1, $C$2)*1000000)/$D103</f>
        <v>6650.4954619796708</v>
      </c>
      <c r="L103" s="13" cm="1">
        <f t="array" ref="L103">(_xll.Turner.GasRateStd(_xll.Turner.GasVelocityWater($C$2, $C103, $C$1), L$5, $C103, $C$1, $C$2)*1000000)/$D103</f>
        <v>10993.676171843943</v>
      </c>
      <c r="M103" s="13" cm="1">
        <f t="array" ref="M103">(_xll.Turner.GasRateStd(_xll.Turner.GasVelocityWater($C$2, $C103, $C$1), M$5, $C103, $C$1, $C$2)*1000000)/$D103</f>
        <v>16422.652059174277</v>
      </c>
      <c r="N103" s="13" cm="1">
        <f t="array" ref="N103">(_xll.Turner.GasRateStd(_xll.Turner.GasVelocityWater($C$2, $C103, $C$1), N$5, $C103, $C$1, $C$2)*1000000)/$D103</f>
        <v>26601.981847918683</v>
      </c>
    </row>
    <row r="104" spans="3:14" hidden="1" x14ac:dyDescent="0.45">
      <c r="C104" s="35">
        <f t="shared" si="10"/>
        <v>3014.7</v>
      </c>
      <c r="D104" s="31">
        <f t="shared" si="11"/>
        <v>700</v>
      </c>
      <c r="E104" s="13" cm="1">
        <f t="array" ref="E104">(_xll.Turner.GasRateStd(_xll.Turner.GasVelocityWater($C$2, $C104, $C$1), E$5, $C104, $C$1, $C$2)*1000000)/$D104</f>
        <v>1014.3951004818822</v>
      </c>
      <c r="F104" s="13" cm="1">
        <f t="array" ref="F104">(_xll.Turner.GasRateStd(_xll.Turner.GasVelocityWater($C$2, $C104, $C$1), F$5, $C104, $C$1, $C$2)*1000000)/$D104</f>
        <v>1460.7289446939101</v>
      </c>
      <c r="G104" s="13" cm="1">
        <f t="array" ref="G104">(_xll.Turner.GasRateStd(_xll.Turner.GasVelocityWater($C$2, $C104, $C$1), G$5, $C104, $C$1, $C$2)*1000000)/$D104</f>
        <v>1988.214396944489</v>
      </c>
      <c r="H104" s="13" cm="1">
        <f t="array" ref="H104">(_xll.Turner.GasRateStd(_xll.Turner.GasVelocityWater($C$2, $C104, $C$1), H$5, $C104, $C$1, $C$2)*1000000)/$D104</f>
        <v>2343.6584401533401</v>
      </c>
      <c r="I104" s="13" cm="1">
        <f t="array" ref="I104">(_xll.Turner.GasRateStd(_xll.Turner.GasVelocityWater($C$2, $C104, $C$1), I$5, $C104, $C$1, $C$2)*1000000)/$D104</f>
        <v>3661.9663127395938</v>
      </c>
      <c r="J104" s="13" cm="1">
        <f t="array" ref="J104">(_xll.Turner.GasRateStd(_xll.Turner.GasVelocityWater($C$2, $C104, $C$1), J$5, $C104, $C$1, $C$2)*1000000)/$D104</f>
        <v>5366.1500815491554</v>
      </c>
      <c r="K104" s="13" cm="1">
        <f t="array" ref="K104">(_xll.Turner.GasRateStd(_xll.Turner.GasVelocityWater($C$2, $C104, $C$1), K$5, $C104, $C$1, $C$2)*1000000)/$D104</f>
        <v>7952.8575877779558</v>
      </c>
      <c r="L104" s="13" cm="1">
        <f t="array" ref="L104">(_xll.Turner.GasRateStd(_xll.Turner.GasVelocityWater($C$2, $C104, $C$1), L$5, $C104, $C$1, $C$2)*1000000)/$D104</f>
        <v>13146.560502245193</v>
      </c>
      <c r="M104" s="13" cm="1">
        <f t="array" ref="M104">(_xll.Turner.GasRateStd(_xll.Turner.GasVelocityWater($C$2, $C104, $C$1), M$5, $C104, $C$1, $C$2)*1000000)/$D104</f>
        <v>19638.689145329234</v>
      </c>
      <c r="N104" s="13" cm="1">
        <f t="array" ref="N104">(_xll.Turner.GasRateStd(_xll.Turner.GasVelocityWater($C$2, $C104, $C$1), N$5, $C104, $C$1, $C$2)*1000000)/$D104</f>
        <v>31811.430351111823</v>
      </c>
    </row>
    <row r="105" spans="3:14" hidden="1" x14ac:dyDescent="0.45">
      <c r="C105" s="12">
        <f t="shared" si="10"/>
        <v>4014.7</v>
      </c>
      <c r="D105" s="31">
        <f t="shared" si="11"/>
        <v>700</v>
      </c>
      <c r="E105" s="13" cm="1">
        <f t="array" ref="E105">(_xll.Turner.GasRateStd(_xll.Turner.GasVelocityWater($C$2, $C105, $C$1), E$5, $C105, $C$1, $C$2)*1000000)/$D105</f>
        <v>1116.1160085167778</v>
      </c>
      <c r="F105" s="13" cm="1">
        <f t="array" ref="F105">(_xll.Turner.GasRateStd(_xll.Turner.GasVelocityWater($C$2, $C105, $C$1), F$5, $C105, $C$1, $C$2)*1000000)/$D105</f>
        <v>1607.2070522641604</v>
      </c>
      <c r="G105" s="13" cm="1">
        <f t="array" ref="G105">(_xll.Turner.GasRateStd(_xll.Turner.GasVelocityWater($C$2, $C105, $C$1), G$5, $C105, $C$1, $C$2)*1000000)/$D105</f>
        <v>2187.5873766928848</v>
      </c>
      <c r="H105" s="13" cm="1">
        <f t="array" ref="H105">(_xll.Turner.GasRateStd(_xll.Turner.GasVelocityWater($C$2, $C105, $C$1), H$5, $C105, $C$1, $C$2)*1000000)/$D105</f>
        <v>2578.6744260771638</v>
      </c>
      <c r="I105" s="13" cm="1">
        <f t="array" ref="I105">(_xll.Turner.GasRateStd(_xll.Turner.GasVelocityWater($C$2, $C105, $C$1), I$5, $C105, $C$1, $C$2)*1000000)/$D105</f>
        <v>4029.1787907455682</v>
      </c>
      <c r="J105" s="13" cm="1">
        <f t="array" ref="J105">(_xll.Turner.GasRateStd(_xll.Turner.GasVelocityWater($C$2, $C105, $C$1), J$5, $C105, $C$1, $C$2)*1000000)/$D105</f>
        <v>5904.2536850537554</v>
      </c>
      <c r="K105" s="13" cm="1">
        <f t="array" ref="K105">(_xll.Turner.GasRateStd(_xll.Turner.GasVelocityWater($C$2, $C105, $C$1), K$5, $C105, $C$1, $C$2)*1000000)/$D105</f>
        <v>8750.3495067715394</v>
      </c>
      <c r="L105" s="13" cm="1">
        <f t="array" ref="L105">(_xll.Turner.GasRateStd(_xll.Turner.GasVelocityWater($C$2, $C105, $C$1), L$5, $C105, $C$1, $C$2)*1000000)/$D105</f>
        <v>14464.863470377441</v>
      </c>
      <c r="M105" s="13" cm="1">
        <f t="array" ref="M105">(_xll.Turner.GasRateStd(_xll.Turner.GasVelocityWater($C$2, $C105, $C$1), M$5, $C105, $C$1, $C$2)*1000000)/$D105</f>
        <v>21608.005924884819</v>
      </c>
      <c r="N105" s="13" cm="1">
        <f t="array" ref="N105">(_xll.Turner.GasRateStd(_xll.Turner.GasVelocityWater($C$2, $C105, $C$1), N$5, $C105, $C$1, $C$2)*1000000)/$D105</f>
        <v>35001.398027086158</v>
      </c>
    </row>
    <row r="106" spans="3:14" hidden="1" x14ac:dyDescent="0.45">
      <c r="C106" s="35">
        <f t="shared" si="10"/>
        <v>5014.7</v>
      </c>
      <c r="D106" s="31">
        <f t="shared" si="11"/>
        <v>700</v>
      </c>
      <c r="E106" s="13" cm="1">
        <f t="array" ref="E106">(_xll.Turner.GasRateStd(_xll.Turner.GasVelocityWater($C$2, $C106, $C$1), E$5, $C106, $C$1, $C$2)*1000000)/$D106</f>
        <v>1181.4754209551222</v>
      </c>
      <c r="F106" s="13" cm="1">
        <f t="array" ref="F106">(_xll.Turner.GasRateStd(_xll.Turner.GasVelocityWater($C$2, $C106, $C$1), F$5, $C106, $C$1, $C$2)*1000000)/$D106</f>
        <v>1701.3246061753757</v>
      </c>
      <c r="G106" s="13" cm="1">
        <f t="array" ref="G106">(_xll.Turner.GasRateStd(_xll.Turner.GasVelocityWater($C$2, $C106, $C$1), G$5, $C106, $C$1, $C$2)*1000000)/$D106</f>
        <v>2315.6918250720391</v>
      </c>
      <c r="H106" s="13" cm="1">
        <f t="array" ref="H106">(_xll.Turner.GasRateStd(_xll.Turner.GasVelocityWater($C$2, $C106, $C$1), H$5, $C106, $C$1, $C$2)*1000000)/$D106</f>
        <v>2729.6808125747139</v>
      </c>
      <c r="I106" s="13" cm="1">
        <f t="array" ref="I106">(_xll.Turner.GasRateStd(_xll.Turner.GasVelocityWater($C$2, $C106, $C$1), I$5, $C106, $C$1, $C$2)*1000000)/$D106</f>
        <v>4265.1262696479898</v>
      </c>
      <c r="J106" s="13" cm="1">
        <f t="array" ref="J106">(_xll.Turner.GasRateStd(_xll.Turner.GasVelocityWater($C$2, $C106, $C$1), J$5, $C106, $C$1, $C$2)*1000000)/$D106</f>
        <v>6250.0049768525951</v>
      </c>
      <c r="K106" s="13" cm="1">
        <f t="array" ref="K106">(_xll.Turner.GasRateStd(_xll.Turner.GasVelocityWater($C$2, $C106, $C$1), K$5, $C106, $C$1, $C$2)*1000000)/$D106</f>
        <v>9262.7673002881565</v>
      </c>
      <c r="L106" s="13" cm="1">
        <f t="array" ref="L106">(_xll.Turner.GasRateStd(_xll.Turner.GasVelocityWater($C$2, $C106, $C$1), L$5, $C106, $C$1, $C$2)*1000000)/$D106</f>
        <v>15311.921455578384</v>
      </c>
      <c r="M106" s="13" cm="1">
        <f t="array" ref="M106">(_xll.Turner.GasRateStd(_xll.Turner.GasVelocityWater($C$2, $C106, $C$1), M$5, $C106, $C$1, $C$2)*1000000)/$D106</f>
        <v>22873.364149691159</v>
      </c>
      <c r="N106" s="13" cm="1">
        <f t="array" ref="N106">(_xll.Turner.GasRateStd(_xll.Turner.GasVelocityWater($C$2, $C106, $C$1), N$5, $C106, $C$1, $C$2)*1000000)/$D106</f>
        <v>37051.069201152626</v>
      </c>
    </row>
    <row r="107" spans="3:14" x14ac:dyDescent="0.45">
      <c r="C107" s="12">
        <f t="shared" si="10"/>
        <v>64.7</v>
      </c>
      <c r="D107" s="31">
        <f t="shared" si="11"/>
        <v>800</v>
      </c>
      <c r="E107" s="13" cm="1">
        <f t="array" ref="E107">(_xll.Turner.GasRateStd(_xll.Turner.GasVelocityWater($C$2, $C107, $C$1), E$5, $C107, $C$1, $C$2)*1000000)/$D107</f>
        <v>124.27103731164176</v>
      </c>
      <c r="F107" s="13" cm="1">
        <f t="array" ref="F107">(_xll.Turner.GasRateStd(_xll.Turner.GasVelocityWater($C$2, $C107, $C$1), F$5, $C107, $C$1, $C$2)*1000000)/$D107</f>
        <v>178.95029372876411</v>
      </c>
      <c r="G107" s="13" cm="1">
        <f t="array" ref="G107">(_xll.Turner.GasRateStd(_xll.Turner.GasVelocityWater($C$2, $C107, $C$1), G$5, $C107, $C$1, $C$2)*1000000)/$D107</f>
        <v>243.57123313081789</v>
      </c>
      <c r="H107" s="13" cm="1">
        <f t="array" ref="H107">(_xll.Turner.GasRateStd(_xll.Turner.GasVelocityWater($C$2, $C107, $C$1), H$5, $C107, $C$1, $C$2)*1000000)/$D107</f>
        <v>287.11580460481707</v>
      </c>
      <c r="I107" s="13" cm="1">
        <f t="array" ref="I107">(_xll.Turner.GasRateStd(_xll.Turner.GasVelocityWater($C$2, $C107, $C$1), I$5, $C107, $C$1, $C$2)*1000000)/$D107</f>
        <v>448.61844469502677</v>
      </c>
      <c r="J107" s="13" cm="1">
        <f t="array" ref="J107">(_xll.Turner.GasRateStd(_xll.Turner.GasVelocityWater($C$2, $C107, $C$1), J$5, $C107, $C$1, $C$2)*1000000)/$D107</f>
        <v>657.39378737858488</v>
      </c>
      <c r="K107" s="13" cm="1">
        <f t="array" ref="K107">(_xll.Turner.GasRateStd(_xll.Turner.GasVelocityWater($C$2, $C107, $C$1), K$5, $C107, $C$1, $C$2)*1000000)/$D107</f>
        <v>974.28493252327155</v>
      </c>
      <c r="L107" s="13" cm="1">
        <f t="array" ref="L107">(_xll.Turner.GasRateStd(_xll.Turner.GasVelocityWater($C$2, $C107, $C$1), L$5, $C107, $C$1, $C$2)*1000000)/$D107</f>
        <v>1610.5526435588774</v>
      </c>
      <c r="M107" s="13" cm="1">
        <f t="array" ref="M107">(_xll.Turner.GasRateStd(_xll.Turner.GasVelocityWater($C$2, $C107, $C$1), M$5, $C107, $C$1, $C$2)*1000000)/$D107</f>
        <v>2405.8872823533839</v>
      </c>
      <c r="N107" s="13" cm="1">
        <f t="array" ref="N107">(_xll.Turner.GasRateStd(_xll.Turner.GasVelocityWater($C$2, $C107, $C$1), N$5, $C107, $C$1, $C$2)*1000000)/$D107</f>
        <v>3897.1397300930862</v>
      </c>
    </row>
    <row r="108" spans="3:14" hidden="1" x14ac:dyDescent="0.45">
      <c r="C108" s="35">
        <f t="shared" ref="C108:C124" si="12">C99</f>
        <v>114.7</v>
      </c>
      <c r="D108" s="31">
        <f t="shared" ref="D108:D124" si="13">D99+100</f>
        <v>800</v>
      </c>
      <c r="E108" s="13" cm="1">
        <f t="array" ref="E108">(_xll.Turner.GasRateStd(_xll.Turner.GasVelocityWater($C$2, $C108, $C$1), E$5, $C108, $C$1, $C$2)*1000000)/$D108</f>
        <v>165.8959430846684</v>
      </c>
      <c r="F108" s="13" cm="1">
        <f t="array" ref="F108">(_xll.Turner.GasRateStd(_xll.Turner.GasVelocityWater($C$2, $C108, $C$1), F$5, $C108, $C$1, $C$2)*1000000)/$D108</f>
        <v>238.89015804192249</v>
      </c>
      <c r="G108" s="13" cm="1">
        <f t="array" ref="G108">(_xll.Turner.GasRateStd(_xll.Turner.GasVelocityWater($C$2, $C108, $C$1), G$5, $C108, $C$1, $C$2)*1000000)/$D108</f>
        <v>325.15604844595009</v>
      </c>
      <c r="H108" s="13" cm="1">
        <f t="array" ref="H108">(_xll.Turner.GasRateStd(_xll.Turner.GasVelocityWater($C$2, $C108, $C$1), H$5, $C108, $C$1, $C$2)*1000000)/$D108</f>
        <v>383.28598690281791</v>
      </c>
      <c r="I108" s="13" cm="1">
        <f t="array" ref="I108">(_xll.Turner.GasRateStd(_xll.Turner.GasVelocityWater($C$2, $C108, $C$1), I$5, $C108, $C$1, $C$2)*1000000)/$D108</f>
        <v>598.88435453565285</v>
      </c>
      <c r="J108" s="13" cm="1">
        <f t="array" ref="J108">(_xll.Turner.GasRateStd(_xll.Turner.GasVelocityWater($C$2, $C108, $C$1), J$5, $C108, $C$1, $C$2)*1000000)/$D108</f>
        <v>877.58953891789588</v>
      </c>
      <c r="K108" s="13" cm="1">
        <f t="array" ref="K108">(_xll.Turner.GasRateStd(_xll.Turner.GasVelocityWater($C$2, $C108, $C$1), K$5, $C108, $C$1, $C$2)*1000000)/$D108</f>
        <v>1300.6241937838004</v>
      </c>
      <c r="L108" s="13" cm="1">
        <f t="array" ref="L108">(_xll.Turner.GasRateStd(_xll.Turner.GasVelocityWater($C$2, $C108, $C$1), L$5, $C108, $C$1, $C$2)*1000000)/$D108</f>
        <v>2150.0114223773026</v>
      </c>
      <c r="M108" s="13" cm="1">
        <f t="array" ref="M108">(_xll.Turner.GasRateStd(_xll.Turner.GasVelocityWater($C$2, $C108, $C$1), M$5, $C108, $C$1, $C$2)*1000000)/$D108</f>
        <v>3211.7454581191796</v>
      </c>
      <c r="N108" s="13" cm="1">
        <f t="array" ref="N108">(_xll.Turner.GasRateStd(_xll.Turner.GasVelocityWater($C$2, $C108, $C$1), N$5, $C108, $C$1, $C$2)*1000000)/$D108</f>
        <v>5202.4967751352015</v>
      </c>
    </row>
    <row r="109" spans="3:14" hidden="1" x14ac:dyDescent="0.45">
      <c r="C109" s="12">
        <f t="shared" si="12"/>
        <v>264.7</v>
      </c>
      <c r="D109" s="31">
        <f t="shared" si="13"/>
        <v>800</v>
      </c>
      <c r="E109" s="13" cm="1">
        <f t="array" ref="E109">(_xll.Turner.GasRateStd(_xll.Turner.GasVelocityWater($C$2, $C109, $C$1), E$5, $C109, $C$1, $C$2)*1000000)/$D109</f>
        <v>253.99417151491062</v>
      </c>
      <c r="F109" s="13" cm="1">
        <f t="array" ref="F109">(_xll.Turner.GasRateStd(_xll.Turner.GasVelocityWater($C$2, $C109, $C$1), F$5, $C109, $C$1, $C$2)*1000000)/$D109</f>
        <v>365.75160698147135</v>
      </c>
      <c r="G109" s="13" cm="1">
        <f t="array" ref="G109">(_xll.Turner.GasRateStd(_xll.Turner.GasVelocityWater($C$2, $C109, $C$1), G$5, $C109, $C$1, $C$2)*1000000)/$D109</f>
        <v>497.82857616922485</v>
      </c>
      <c r="H109" s="13" cm="1">
        <f t="array" ref="H109">(_xll.Turner.GasRateStd(_xll.Turner.GasVelocityWater($C$2, $C109, $C$1), H$5, $C109, $C$1, $C$2)*1000000)/$D109</f>
        <v>586.82813386804946</v>
      </c>
      <c r="I109" s="13" cm="1">
        <f t="array" ref="I109">(_xll.Turner.GasRateStd(_xll.Turner.GasVelocityWater($C$2, $C109, $C$1), I$5, $C109, $C$1, $C$2)*1000000)/$D109</f>
        <v>916.91895916882709</v>
      </c>
      <c r="J109" s="13" cm="1">
        <f t="array" ref="J109">(_xll.Turner.GasRateStd(_xll.Turner.GasVelocityWater($C$2, $C109, $C$1), J$5, $C109, $C$1, $C$2)*1000000)/$D109</f>
        <v>1343.6291673138769</v>
      </c>
      <c r="K109" s="13" cm="1">
        <f t="array" ref="K109">(_xll.Turner.GasRateStd(_xll.Turner.GasVelocityWater($C$2, $C109, $C$1), K$5, $C109, $C$1, $C$2)*1000000)/$D109</f>
        <v>1991.3143046768994</v>
      </c>
      <c r="L109" s="13" cm="1">
        <f t="array" ref="L109">(_xll.Turner.GasRateStd(_xll.Turner.GasVelocityWater($C$2, $C109, $C$1), L$5, $C109, $C$1, $C$2)*1000000)/$D109</f>
        <v>3291.7644628332414</v>
      </c>
      <c r="M109" s="13" cm="1">
        <f t="array" ref="M109">(_xll.Turner.GasRateStd(_xll.Turner.GasVelocityWater($C$2, $C109, $C$1), M$5, $C109, $C$1, $C$2)*1000000)/$D109</f>
        <v>4917.3271605286682</v>
      </c>
      <c r="N109" s="13" cm="1">
        <f t="array" ref="N109">(_xll.Turner.GasRateStd(_xll.Turner.GasVelocityWater($C$2, $C109, $C$1), N$5, $C109, $C$1, $C$2)*1000000)/$D109</f>
        <v>7965.2572187075975</v>
      </c>
    </row>
    <row r="110" spans="3:14" hidden="1" x14ac:dyDescent="0.45">
      <c r="C110" s="35">
        <f t="shared" si="12"/>
        <v>514.70000000000005</v>
      </c>
      <c r="D110" s="31">
        <f t="shared" si="13"/>
        <v>800</v>
      </c>
      <c r="E110" s="13" cm="1">
        <f t="array" ref="E110">(_xll.Turner.GasRateStd(_xll.Turner.GasVelocityWater($C$2, $C110, $C$1), E$5, $C110, $C$1, $C$2)*1000000)/$D110</f>
        <v>358.7267860630962</v>
      </c>
      <c r="F110" s="13" cm="1">
        <f t="array" ref="F110">(_xll.Turner.GasRateStd(_xll.Turner.GasVelocityWater($C$2, $C110, $C$1), F$5, $C110, $C$1, $C$2)*1000000)/$D110</f>
        <v>516.56657193085846</v>
      </c>
      <c r="G110" s="13" cm="1">
        <f t="array" ref="G110">(_xll.Turner.GasRateStd(_xll.Turner.GasVelocityWater($C$2, $C110, $C$1), G$5, $C110, $C$1, $C$2)*1000000)/$D110</f>
        <v>703.10450068366845</v>
      </c>
      <c r="H110" s="13" cm="1">
        <f t="array" ref="H110">(_xll.Turner.GasRateStd(_xll.Turner.GasVelocityWater($C$2, $C110, $C$1), H$5, $C110, $C$1, $C$2)*1000000)/$D110</f>
        <v>828.80236652017732</v>
      </c>
      <c r="I110" s="13" cm="1">
        <f t="array" ref="I110">(_xll.Turner.GasRateStd(_xll.Turner.GasVelocityWater($C$2, $C110, $C$1), I$5, $C110, $C$1, $C$2)*1000000)/$D110</f>
        <v>1295.0036976877773</v>
      </c>
      <c r="J110" s="13" cm="1">
        <f t="array" ref="J110">(_xll.Turner.GasRateStd(_xll.Turner.GasVelocityWater($C$2, $C110, $C$1), J$5, $C110, $C$1, $C$2)*1000000)/$D110</f>
        <v>1897.6646982737789</v>
      </c>
      <c r="K110" s="13" cm="1">
        <f t="array" ref="K110">(_xll.Turner.GasRateStd(_xll.Turner.GasVelocityWater($C$2, $C110, $C$1), K$5, $C110, $C$1, $C$2)*1000000)/$D110</f>
        <v>2812.4180027346738</v>
      </c>
      <c r="L110" s="13" cm="1">
        <f t="array" ref="L110">(_xll.Turner.GasRateStd(_xll.Turner.GasVelocityWater($C$2, $C110, $C$1), L$5, $C110, $C$1, $C$2)*1000000)/$D110</f>
        <v>4649.0991473777258</v>
      </c>
      <c r="M110" s="13" cm="1">
        <f t="array" ref="M110">(_xll.Turner.GasRateStd(_xll.Turner.GasVelocityWater($C$2, $C110, $C$1), M$5, $C110, $C$1, $C$2)*1000000)/$D110</f>
        <v>6944.9505781815415</v>
      </c>
      <c r="N110" s="13" cm="1">
        <f t="array" ref="N110">(_xll.Turner.GasRateStd(_xll.Turner.GasVelocityWater($C$2, $C110, $C$1), N$5, $C110, $C$1, $C$2)*1000000)/$D110</f>
        <v>11249.672010938695</v>
      </c>
    </row>
    <row r="111" spans="3:14" hidden="1" x14ac:dyDescent="0.45">
      <c r="C111" s="12">
        <f t="shared" si="12"/>
        <v>1014.7</v>
      </c>
      <c r="D111" s="31">
        <f t="shared" si="13"/>
        <v>800</v>
      </c>
      <c r="E111" s="13" cm="1">
        <f t="array" ref="E111">(_xll.Turner.GasRateStd(_xll.Turner.GasVelocityWater($C$2, $C111, $C$1), E$5, $C111, $C$1, $C$2)*1000000)/$D111</f>
        <v>515.44643867501156</v>
      </c>
      <c r="F111" s="13" cm="1">
        <f t="array" ref="F111">(_xll.Turner.GasRateStd(_xll.Turner.GasVelocityWater($C$2, $C111, $C$1), F$5, $C111, $C$1, $C$2)*1000000)/$D111</f>
        <v>742.24287169201648</v>
      </c>
      <c r="G111" s="13" cm="1">
        <f t="array" ref="G111">(_xll.Turner.GasRateStd(_xll.Turner.GasVelocityWater($C$2, $C111, $C$1), G$5, $C111, $C$1, $C$2)*1000000)/$D111</f>
        <v>1010.2750198030226</v>
      </c>
      <c r="H111" s="13" cm="1">
        <f t="array" ref="H111">(_xll.Turner.GasRateStd(_xll.Turner.GasVelocityWater($C$2, $C111, $C$1), H$5, $C111, $C$1, $C$2)*1000000)/$D111</f>
        <v>1190.8874519147464</v>
      </c>
      <c r="I111" s="13" cm="1">
        <f t="array" ref="I111">(_xll.Turner.GasRateStd(_xll.Turner.GasVelocityWater($C$2, $C111, $C$1), I$5, $C111, $C$1, $C$2)*1000000)/$D111</f>
        <v>1860.7616436167914</v>
      </c>
      <c r="J111" s="13" cm="1">
        <f t="array" ref="J111">(_xll.Turner.GasRateStd(_xll.Turner.GasVelocityWater($C$2, $C111, $C$1), J$5, $C111, $C$1, $C$2)*1000000)/$D111</f>
        <v>2726.7116605908104</v>
      </c>
      <c r="K111" s="13" cm="1">
        <f t="array" ref="K111">(_xll.Turner.GasRateStd(_xll.Turner.GasVelocityWater($C$2, $C111, $C$1), K$5, $C111, $C$1, $C$2)*1000000)/$D111</f>
        <v>4041.1000792120903</v>
      </c>
      <c r="L111" s="13" cm="1">
        <f t="array" ref="L111">(_xll.Turner.GasRateStd(_xll.Turner.GasVelocityWater($C$2, $C111, $C$1), L$5, $C111, $C$1, $C$2)*1000000)/$D111</f>
        <v>6680.1858452281494</v>
      </c>
      <c r="M111" s="13" cm="1">
        <f t="array" ref="M111">(_xll.Turner.GasRateStd(_xll.Turner.GasVelocityWater($C$2, $C111, $C$1), M$5, $C111, $C$1, $C$2)*1000000)/$D111</f>
        <v>9979.0430527482185</v>
      </c>
      <c r="N111" s="13" cm="1">
        <f t="array" ref="N111">(_xll.Turner.GasRateStd(_xll.Turner.GasVelocityWater($C$2, $C111, $C$1), N$5, $C111, $C$1, $C$2)*1000000)/$D111</f>
        <v>16164.400316848361</v>
      </c>
    </row>
    <row r="112" spans="3:14" hidden="1" x14ac:dyDescent="0.45">
      <c r="C112" s="35">
        <f t="shared" si="12"/>
        <v>2014.7</v>
      </c>
      <c r="D112" s="31">
        <f t="shared" si="13"/>
        <v>800</v>
      </c>
      <c r="E112" s="13" cm="1">
        <f t="array" ref="E112">(_xll.Turner.GasRateStd(_xll.Turner.GasVelocityWater($C$2, $C112, $C$1), E$5, $C112, $C$1, $C$2)*1000000)/$D112</f>
        <v>742.24279709594532</v>
      </c>
      <c r="F112" s="13" cm="1">
        <f t="array" ref="F112">(_xll.Turner.GasRateStd(_xll.Turner.GasVelocityWater($C$2, $C112, $C$1), F$5, $C112, $C$1, $C$2)*1000000)/$D112</f>
        <v>1068.829627818161</v>
      </c>
      <c r="G112" s="13" cm="1">
        <f t="array" ref="G112">(_xll.Turner.GasRateStd(_xll.Turner.GasVelocityWater($C$2, $C112, $C$1), G$5, $C112, $C$1, $C$2)*1000000)/$D112</f>
        <v>1454.795882308053</v>
      </c>
      <c r="H112" s="13" cm="1">
        <f t="array" ref="H112">(_xll.Turner.GasRateStd(_xll.Turner.GasVelocityWater($C$2, $C112, $C$1), H$5, $C112, $C$1, $C$2)*1000000)/$D112</f>
        <v>1714.8777584104714</v>
      </c>
      <c r="I112" s="13" cm="1">
        <f t="array" ref="I112">(_xll.Turner.GasRateStd(_xll.Turner.GasVelocityWater($C$2, $C112, $C$1), I$5, $C112, $C$1, $C$2)*1000000)/$D112</f>
        <v>2679.4964975163616</v>
      </c>
      <c r="J112" s="13" cm="1">
        <f t="array" ref="J112">(_xll.Turner.GasRateStd(_xll.Turner.GasVelocityWater($C$2, $C112, $C$1), J$5, $C112, $C$1, $C$2)*1000000)/$D112</f>
        <v>3926.4643966375502</v>
      </c>
      <c r="K112" s="13" cm="1">
        <f t="array" ref="K112">(_xll.Turner.GasRateStd(_xll.Turner.GasVelocityWater($C$2, $C112, $C$1), K$5, $C112, $C$1, $C$2)*1000000)/$D112</f>
        <v>5819.1835292322121</v>
      </c>
      <c r="L112" s="13" cm="1">
        <f t="array" ref="L112">(_xll.Turner.GasRateStd(_xll.Turner.GasVelocityWater($C$2, $C112, $C$1), L$5, $C112, $C$1, $C$2)*1000000)/$D112</f>
        <v>9619.4666503634508</v>
      </c>
      <c r="M112" s="13" cm="1">
        <f t="array" ref="M112">(_xll.Turner.GasRateStd(_xll.Turner.GasVelocityWater($C$2, $C112, $C$1), M$5, $C112, $C$1, $C$2)*1000000)/$D112</f>
        <v>14369.820551777493</v>
      </c>
      <c r="N112" s="13" cm="1">
        <f t="array" ref="N112">(_xll.Turner.GasRateStd(_xll.Turner.GasVelocityWater($C$2, $C112, $C$1), N$5, $C112, $C$1, $C$2)*1000000)/$D112</f>
        <v>23276.734116928848</v>
      </c>
    </row>
    <row r="113" spans="3:14" hidden="1" x14ac:dyDescent="0.45">
      <c r="C113" s="12">
        <f t="shared" si="12"/>
        <v>3014.7</v>
      </c>
      <c r="D113" s="31">
        <f t="shared" si="13"/>
        <v>800</v>
      </c>
      <c r="E113" s="13" cm="1">
        <f t="array" ref="E113">(_xll.Turner.GasRateStd(_xll.Turner.GasVelocityWater($C$2, $C113, $C$1), E$5, $C113, $C$1, $C$2)*1000000)/$D113</f>
        <v>887.59571292164696</v>
      </c>
      <c r="F113" s="13" cm="1">
        <f t="array" ref="F113">(_xll.Turner.GasRateStd(_xll.Turner.GasVelocityWater($C$2, $C113, $C$1), F$5, $C113, $C$1, $C$2)*1000000)/$D113</f>
        <v>1278.1378266071713</v>
      </c>
      <c r="G113" s="13" cm="1">
        <f t="array" ref="G113">(_xll.Turner.GasRateStd(_xll.Turner.GasVelocityWater($C$2, $C113, $C$1), G$5, $C113, $C$1, $C$2)*1000000)/$D113</f>
        <v>1739.687597326428</v>
      </c>
      <c r="H113" s="13" cm="1">
        <f t="array" ref="H113">(_xll.Turner.GasRateStd(_xll.Turner.GasVelocityWater($C$2, $C113, $C$1), H$5, $C113, $C$1, $C$2)*1000000)/$D113</f>
        <v>2050.7011351341725</v>
      </c>
      <c r="I113" s="13" cm="1">
        <f t="array" ref="I113">(_xll.Turner.GasRateStd(_xll.Turner.GasVelocityWater($C$2, $C113, $C$1), I$5, $C113, $C$1, $C$2)*1000000)/$D113</f>
        <v>3204.2205236471445</v>
      </c>
      <c r="J113" s="13" cm="1">
        <f t="array" ref="J113">(_xll.Turner.GasRateStd(_xll.Turner.GasVelocityWater($C$2, $C113, $C$1), J$5, $C113, $C$1, $C$2)*1000000)/$D113</f>
        <v>4695.3813213555113</v>
      </c>
      <c r="K113" s="13" cm="1">
        <f t="array" ref="K113">(_xll.Turner.GasRateStd(_xll.Turner.GasVelocityWater($C$2, $C113, $C$1), K$5, $C113, $C$1, $C$2)*1000000)/$D113</f>
        <v>6958.7503893057119</v>
      </c>
      <c r="L113" s="13" cm="1">
        <f t="array" ref="L113">(_xll.Turner.GasRateStd(_xll.Turner.GasVelocityWater($C$2, $C113, $C$1), L$5, $C113, $C$1, $C$2)*1000000)/$D113</f>
        <v>11503.240439464544</v>
      </c>
      <c r="M113" s="13" cm="1">
        <f t="array" ref="M113">(_xll.Turner.GasRateStd(_xll.Turner.GasVelocityWater($C$2, $C113, $C$1), M$5, $C113, $C$1, $C$2)*1000000)/$D113</f>
        <v>17183.85300216308</v>
      </c>
      <c r="N113" s="13" cm="1">
        <f t="array" ref="N113">(_xll.Turner.GasRateStd(_xll.Turner.GasVelocityWater($C$2, $C113, $C$1), N$5, $C113, $C$1, $C$2)*1000000)/$D113</f>
        <v>27835.001557222848</v>
      </c>
    </row>
    <row r="114" spans="3:14" hidden="1" x14ac:dyDescent="0.45">
      <c r="C114" s="35">
        <f t="shared" si="12"/>
        <v>4014.7</v>
      </c>
      <c r="D114" s="31">
        <f t="shared" si="13"/>
        <v>800</v>
      </c>
      <c r="E114" s="13" cm="1">
        <f t="array" ref="E114">(_xll.Turner.GasRateStd(_xll.Turner.GasVelocityWater($C$2, $C114, $C$1), E$5, $C114, $C$1, $C$2)*1000000)/$D114</f>
        <v>976.60150745218061</v>
      </c>
      <c r="F114" s="13" cm="1">
        <f t="array" ref="F114">(_xll.Turner.GasRateStd(_xll.Turner.GasVelocityWater($C$2, $C114, $C$1), F$5, $C114, $C$1, $C$2)*1000000)/$D114</f>
        <v>1406.3061707311404</v>
      </c>
      <c r="G114" s="13" cm="1">
        <f t="array" ref="G114">(_xll.Turner.GasRateStd(_xll.Turner.GasVelocityWater($C$2, $C114, $C$1), G$5, $C114, $C$1, $C$2)*1000000)/$D114</f>
        <v>1914.1389546062742</v>
      </c>
      <c r="H114" s="13" cm="1">
        <f t="array" ref="H114">(_xll.Turner.GasRateStd(_xll.Turner.GasVelocityWater($C$2, $C114, $C$1), H$5, $C114, $C$1, $C$2)*1000000)/$D114</f>
        <v>2256.3401228175185</v>
      </c>
      <c r="I114" s="13" cm="1">
        <f t="array" ref="I114">(_xll.Turner.GasRateStd(_xll.Turner.GasVelocityWater($C$2, $C114, $C$1), I$5, $C114, $C$1, $C$2)*1000000)/$D114</f>
        <v>3525.5314419023721</v>
      </c>
      <c r="J114" s="13" cm="1">
        <f t="array" ref="J114">(_xll.Turner.GasRateStd(_xll.Turner.GasVelocityWater($C$2, $C114, $C$1), J$5, $C114, $C$1, $C$2)*1000000)/$D114</f>
        <v>5166.2219744220356</v>
      </c>
      <c r="K114" s="13" cm="1">
        <f t="array" ref="K114">(_xll.Turner.GasRateStd(_xll.Turner.GasVelocityWater($C$2, $C114, $C$1), K$5, $C114, $C$1, $C$2)*1000000)/$D114</f>
        <v>7656.5558184250967</v>
      </c>
      <c r="L114" s="13" cm="1">
        <f t="array" ref="L114">(_xll.Turner.GasRateStd(_xll.Turner.GasVelocityWater($C$2, $C114, $C$1), L$5, $C114, $C$1, $C$2)*1000000)/$D114</f>
        <v>12656.75553658026</v>
      </c>
      <c r="M114" s="13" cm="1">
        <f t="array" ref="M114">(_xll.Turner.GasRateStd(_xll.Turner.GasVelocityWater($C$2, $C114, $C$1), M$5, $C114, $C$1, $C$2)*1000000)/$D114</f>
        <v>18907.005184274218</v>
      </c>
      <c r="N114" s="13" cm="1">
        <f t="array" ref="N114">(_xll.Turner.GasRateStd(_xll.Turner.GasVelocityWater($C$2, $C114, $C$1), N$5, $C114, $C$1, $C$2)*1000000)/$D114</f>
        <v>30626.223273700387</v>
      </c>
    </row>
    <row r="115" spans="3:14" hidden="1" x14ac:dyDescent="0.45">
      <c r="C115" s="12">
        <f t="shared" si="12"/>
        <v>5014.7</v>
      </c>
      <c r="D115" s="31">
        <f t="shared" si="13"/>
        <v>800</v>
      </c>
      <c r="E115" s="13" cm="1">
        <f t="array" ref="E115">(_xll.Turner.GasRateStd(_xll.Turner.GasVelocityWater($C$2, $C115, $C$1), E$5, $C115, $C$1, $C$2)*1000000)/$D115</f>
        <v>1033.7909933357319</v>
      </c>
      <c r="F115" s="13" cm="1">
        <f t="array" ref="F115">(_xll.Turner.GasRateStd(_xll.Turner.GasVelocityWater($C$2, $C115, $C$1), F$5, $C115, $C$1, $C$2)*1000000)/$D115</f>
        <v>1488.6590304034537</v>
      </c>
      <c r="G115" s="13" cm="1">
        <f t="array" ref="G115">(_xll.Turner.GasRateStd(_xll.Turner.GasVelocityWater($C$2, $C115, $C$1), G$5, $C115, $C$1, $C$2)*1000000)/$D115</f>
        <v>2026.2303469380342</v>
      </c>
      <c r="H115" s="13" cm="1">
        <f t="array" ref="H115">(_xll.Turner.GasRateStd(_xll.Turner.GasVelocityWater($C$2, $C115, $C$1), H$5, $C115, $C$1, $C$2)*1000000)/$D115</f>
        <v>2388.4707110028744</v>
      </c>
      <c r="I115" s="13" cm="1">
        <f t="array" ref="I115">(_xll.Turner.GasRateStd(_xll.Turner.GasVelocityWater($C$2, $C115, $C$1), I$5, $C115, $C$1, $C$2)*1000000)/$D115</f>
        <v>3731.9854859419911</v>
      </c>
      <c r="J115" s="13" cm="1">
        <f t="array" ref="J115">(_xll.Turner.GasRateStd(_xll.Turner.GasVelocityWater($C$2, $C115, $C$1), J$5, $C115, $C$1, $C$2)*1000000)/$D115</f>
        <v>5468.75435474602</v>
      </c>
      <c r="K115" s="13" cm="1">
        <f t="array" ref="K115">(_xll.Turner.GasRateStd(_xll.Turner.GasVelocityWater($C$2, $C115, $C$1), K$5, $C115, $C$1, $C$2)*1000000)/$D115</f>
        <v>8104.921387752137</v>
      </c>
      <c r="L115" s="13" cm="1">
        <f t="array" ref="L115">(_xll.Turner.GasRateStd(_xll.Turner.GasVelocityWater($C$2, $C115, $C$1), L$5, $C115, $C$1, $C$2)*1000000)/$D115</f>
        <v>13397.931273631086</v>
      </c>
      <c r="M115" s="13" cm="1">
        <f t="array" ref="M115">(_xll.Turner.GasRateStd(_xll.Turner.GasVelocityWater($C$2, $C115, $C$1), M$5, $C115, $C$1, $C$2)*1000000)/$D115</f>
        <v>20014.193630979764</v>
      </c>
      <c r="N115" s="13" cm="1">
        <f t="array" ref="N115">(_xll.Turner.GasRateStd(_xll.Turner.GasVelocityWater($C$2, $C115, $C$1), N$5, $C115, $C$1, $C$2)*1000000)/$D115</f>
        <v>32419.685551008548</v>
      </c>
    </row>
    <row r="116" spans="3:14" x14ac:dyDescent="0.45">
      <c r="C116" s="35">
        <f>C107</f>
        <v>64.7</v>
      </c>
      <c r="D116" s="31">
        <f>D107+100</f>
        <v>900</v>
      </c>
      <c r="E116" s="13" cm="1">
        <f t="array" ref="E116">(_xll.Turner.GasRateStd(_xll.Turner.GasVelocityWater($C$2, $C116, $C$1), E$5, $C116, $C$1, $C$2)*1000000)/$D116</f>
        <v>110.46314427701489</v>
      </c>
      <c r="F116" s="13" cm="1">
        <f t="array" ref="F116">(_xll.Turner.GasRateStd(_xll.Turner.GasVelocityWater($C$2, $C116, $C$1), F$5, $C116, $C$1, $C$2)*1000000)/$D116</f>
        <v>159.06692775890144</v>
      </c>
      <c r="G116" s="13" cm="1">
        <f t="array" ref="G116">(_xll.Turner.GasRateStd(_xll.Turner.GasVelocityWater($C$2, $C116, $C$1), G$5, $C116, $C$1, $C$2)*1000000)/$D116</f>
        <v>216.50776278294924</v>
      </c>
      <c r="H116" s="13" cm="1">
        <f t="array" ref="H116">(_xll.Turner.GasRateStd(_xll.Turner.GasVelocityWater($C$2, $C116, $C$1), H$5, $C116, $C$1, $C$2)*1000000)/$D116</f>
        <v>255.21404853761518</v>
      </c>
      <c r="I116" s="13" cm="1">
        <f t="array" ref="I116">(_xll.Turner.GasRateStd(_xll.Turner.GasVelocityWater($C$2, $C116, $C$1), I$5, $C116, $C$1, $C$2)*1000000)/$D116</f>
        <v>398.77195084002381</v>
      </c>
      <c r="J116" s="13" cm="1">
        <f t="array" ref="J116">(_xll.Turner.GasRateStd(_xll.Turner.GasVelocityWater($C$2, $C116, $C$1), J$5, $C116, $C$1, $C$2)*1000000)/$D116</f>
        <v>584.35003322540877</v>
      </c>
      <c r="K116" s="13" cm="1">
        <f t="array" ref="K116">(_xll.Turner.GasRateStd(_xll.Turner.GasVelocityWater($C$2, $C116, $C$1), K$5, $C116, $C$1, $C$2)*1000000)/$D116</f>
        <v>866.03105113179697</v>
      </c>
      <c r="L116" s="13" cm="1">
        <f t="array" ref="L116">(_xll.Turner.GasRateStd(_xll.Turner.GasVelocityWater($C$2, $C116, $C$1), L$5, $C116, $C$1, $C$2)*1000000)/$D116</f>
        <v>1431.6023498301133</v>
      </c>
      <c r="M116" s="13" cm="1">
        <f t="array" ref="M116">(_xll.Turner.GasRateStd(_xll.Turner.GasVelocityWater($C$2, $C116, $C$1), M$5, $C116, $C$1, $C$2)*1000000)/$D116</f>
        <v>2138.5664732030077</v>
      </c>
      <c r="N116" s="13" cm="1">
        <f t="array" ref="N116">(_xll.Turner.GasRateStd(_xll.Turner.GasVelocityWater($C$2, $C116, $C$1), N$5, $C116, $C$1, $C$2)*1000000)/$D116</f>
        <v>3464.1242045271879</v>
      </c>
    </row>
    <row r="117" spans="3:14" hidden="1" x14ac:dyDescent="0.45">
      <c r="C117" s="12">
        <f t="shared" si="12"/>
        <v>114.7</v>
      </c>
      <c r="D117" s="31">
        <f t="shared" si="13"/>
        <v>900</v>
      </c>
      <c r="E117" s="13" cm="1">
        <f t="array" ref="E117">(_xll.Turner.GasRateStd(_xll.Turner.GasVelocityWater($C$2, $C117, $C$1), E$5, $C117, $C$1, $C$2)*1000000)/$D117</f>
        <v>147.46306051970524</v>
      </c>
      <c r="F117" s="13" cm="1">
        <f t="array" ref="F117">(_xll.Turner.GasRateStd(_xll.Turner.GasVelocityWater($C$2, $C117, $C$1), F$5, $C117, $C$1, $C$2)*1000000)/$D117</f>
        <v>212.34680714837555</v>
      </c>
      <c r="G117" s="13" cm="1">
        <f t="array" ref="G117">(_xll.Turner.GasRateStd(_xll.Turner.GasVelocityWater($C$2, $C117, $C$1), G$5, $C117, $C$1, $C$2)*1000000)/$D117</f>
        <v>289.02759861862228</v>
      </c>
      <c r="H117" s="13" cm="1">
        <f t="array" ref="H117">(_xll.Turner.GasRateStd(_xll.Turner.GasVelocityWater($C$2, $C117, $C$1), H$5, $C117, $C$1, $C$2)*1000000)/$D117</f>
        <v>340.69865502472703</v>
      </c>
      <c r="I117" s="13" cm="1">
        <f t="array" ref="I117">(_xll.Turner.GasRateStd(_xll.Turner.GasVelocityWater($C$2, $C117, $C$1), I$5, $C117, $C$1, $C$2)*1000000)/$D117</f>
        <v>532.34164847613579</v>
      </c>
      <c r="J117" s="13" cm="1">
        <f t="array" ref="J117">(_xll.Turner.GasRateStd(_xll.Turner.GasVelocityWater($C$2, $C117, $C$1), J$5, $C117, $C$1, $C$2)*1000000)/$D117</f>
        <v>780.07959014924074</v>
      </c>
      <c r="K117" s="13" cm="1">
        <f t="array" ref="K117">(_xll.Turner.GasRateStd(_xll.Turner.GasVelocityWater($C$2, $C117, $C$1), K$5, $C117, $C$1, $C$2)*1000000)/$D117</f>
        <v>1156.1103944744891</v>
      </c>
      <c r="L117" s="13" cm="1">
        <f t="array" ref="L117">(_xll.Turner.GasRateStd(_xll.Turner.GasVelocityWater($C$2, $C117, $C$1), L$5, $C117, $C$1, $C$2)*1000000)/$D117</f>
        <v>1911.1212643353799</v>
      </c>
      <c r="M117" s="13" cm="1">
        <f t="array" ref="M117">(_xll.Turner.GasRateStd(_xll.Turner.GasVelocityWater($C$2, $C117, $C$1), M$5, $C117, $C$1, $C$2)*1000000)/$D117</f>
        <v>2854.884851661493</v>
      </c>
      <c r="N117" s="13" cm="1">
        <f t="array" ref="N117">(_xll.Turner.GasRateStd(_xll.Turner.GasVelocityWater($C$2, $C117, $C$1), N$5, $C117, $C$1, $C$2)*1000000)/$D117</f>
        <v>4624.4415778979564</v>
      </c>
    </row>
    <row r="118" spans="3:14" hidden="1" x14ac:dyDescent="0.45">
      <c r="C118" s="35">
        <f t="shared" si="12"/>
        <v>264.7</v>
      </c>
      <c r="D118" s="31">
        <f t="shared" si="13"/>
        <v>900</v>
      </c>
      <c r="E118" s="13" cm="1">
        <f t="array" ref="E118">(_xll.Turner.GasRateStd(_xll.Turner.GasVelocityWater($C$2, $C118, $C$1), E$5, $C118, $C$1, $C$2)*1000000)/$D118</f>
        <v>225.77259690214279</v>
      </c>
      <c r="F118" s="13" cm="1">
        <f t="array" ref="F118">(_xll.Turner.GasRateStd(_xll.Turner.GasVelocityWater($C$2, $C118, $C$1), F$5, $C118, $C$1, $C$2)*1000000)/$D118</f>
        <v>325.11253953908562</v>
      </c>
      <c r="G118" s="13" cm="1">
        <f t="array" ref="G118">(_xll.Turner.GasRateStd(_xll.Turner.GasVelocityWater($C$2, $C118, $C$1), G$5, $C118, $C$1, $C$2)*1000000)/$D118</f>
        <v>442.51428992819984</v>
      </c>
      <c r="H118" s="13" cm="1">
        <f t="array" ref="H118">(_xll.Turner.GasRateStd(_xll.Turner.GasVelocityWater($C$2, $C118, $C$1), H$5, $C118, $C$1, $C$2)*1000000)/$D118</f>
        <v>521.62500788271063</v>
      </c>
      <c r="I118" s="13" cm="1">
        <f t="array" ref="I118">(_xll.Turner.GasRateStd(_xll.Turner.GasVelocityWater($C$2, $C118, $C$1), I$5, $C118, $C$1, $C$2)*1000000)/$D118</f>
        <v>815.03907481673525</v>
      </c>
      <c r="J118" s="13" cm="1">
        <f t="array" ref="J118">(_xll.Turner.GasRateStd(_xll.Turner.GasVelocityWater($C$2, $C118, $C$1), J$5, $C118, $C$1, $C$2)*1000000)/$D118</f>
        <v>1194.3370376123351</v>
      </c>
      <c r="K118" s="13" cm="1">
        <f t="array" ref="K118">(_xll.Turner.GasRateStd(_xll.Turner.GasVelocityWater($C$2, $C118, $C$1), K$5, $C118, $C$1, $C$2)*1000000)/$D118</f>
        <v>1770.0571597127994</v>
      </c>
      <c r="L118" s="13" cm="1">
        <f t="array" ref="L118">(_xll.Turner.GasRateStd(_xll.Turner.GasVelocityWater($C$2, $C118, $C$1), L$5, $C118, $C$1, $C$2)*1000000)/$D118</f>
        <v>2926.0128558517704</v>
      </c>
      <c r="M118" s="13" cm="1">
        <f t="array" ref="M118">(_xll.Turner.GasRateStd(_xll.Turner.GasVelocityWater($C$2, $C118, $C$1), M$5, $C118, $C$1, $C$2)*1000000)/$D118</f>
        <v>4370.9574760254827</v>
      </c>
      <c r="N118" s="13" cm="1">
        <f t="array" ref="N118">(_xll.Turner.GasRateStd(_xll.Turner.GasVelocityWater($C$2, $C118, $C$1), N$5, $C118, $C$1, $C$2)*1000000)/$D118</f>
        <v>7080.2286388511975</v>
      </c>
    </row>
    <row r="119" spans="3:14" hidden="1" x14ac:dyDescent="0.45">
      <c r="C119" s="12">
        <f t="shared" si="12"/>
        <v>514.70000000000005</v>
      </c>
      <c r="D119" s="31">
        <f t="shared" si="13"/>
        <v>900</v>
      </c>
      <c r="E119" s="13" cm="1">
        <f t="array" ref="E119">(_xll.Turner.GasRateStd(_xll.Turner.GasVelocityWater($C$2, $C119, $C$1), E$5, $C119, $C$1, $C$2)*1000000)/$D119</f>
        <v>318.86825427830775</v>
      </c>
      <c r="F119" s="13" cm="1">
        <f t="array" ref="F119">(_xll.Turner.GasRateStd(_xll.Turner.GasVelocityWater($C$2, $C119, $C$1), F$5, $C119, $C$1, $C$2)*1000000)/$D119</f>
        <v>459.17028616076311</v>
      </c>
      <c r="G119" s="13" cm="1">
        <f t="array" ref="G119">(_xll.Turner.GasRateStd(_xll.Turner.GasVelocityWater($C$2, $C119, $C$1), G$5, $C119, $C$1, $C$2)*1000000)/$D119</f>
        <v>624.98177838548304</v>
      </c>
      <c r="H119" s="13" cm="1">
        <f t="array" ref="H119">(_xll.Turner.GasRateStd(_xll.Turner.GasVelocityWater($C$2, $C119, $C$1), H$5, $C119, $C$1, $C$2)*1000000)/$D119</f>
        <v>736.71321468460201</v>
      </c>
      <c r="I119" s="13" cm="1">
        <f t="array" ref="I119">(_xll.Turner.GasRateStd(_xll.Turner.GasVelocityWater($C$2, $C119, $C$1), I$5, $C119, $C$1, $C$2)*1000000)/$D119</f>
        <v>1151.1143979446908</v>
      </c>
      <c r="J119" s="13" cm="1">
        <f t="array" ref="J119">(_xll.Turner.GasRateStd(_xll.Turner.GasVelocityWater($C$2, $C119, $C$1), J$5, $C119, $C$1, $C$2)*1000000)/$D119</f>
        <v>1686.8130651322479</v>
      </c>
      <c r="K119" s="13" cm="1">
        <f t="array" ref="K119">(_xll.Turner.GasRateStd(_xll.Turner.GasVelocityWater($C$2, $C119, $C$1), K$5, $C119, $C$1, $C$2)*1000000)/$D119</f>
        <v>2499.9271135419322</v>
      </c>
      <c r="L119" s="13" cm="1">
        <f t="array" ref="L119">(_xll.Turner.GasRateStd(_xll.Turner.GasVelocityWater($C$2, $C119, $C$1), L$5, $C119, $C$1, $C$2)*1000000)/$D119</f>
        <v>4132.5325754468677</v>
      </c>
      <c r="M119" s="13" cm="1">
        <f t="array" ref="M119">(_xll.Turner.GasRateStd(_xll.Turner.GasVelocityWater($C$2, $C119, $C$1), M$5, $C119, $C$1, $C$2)*1000000)/$D119</f>
        <v>6173.2894028280361</v>
      </c>
      <c r="N119" s="13" cm="1">
        <f t="array" ref="N119">(_xll.Turner.GasRateStd(_xll.Turner.GasVelocityWater($C$2, $C119, $C$1), N$5, $C119, $C$1, $C$2)*1000000)/$D119</f>
        <v>9999.7084541677286</v>
      </c>
    </row>
    <row r="120" spans="3:14" hidden="1" x14ac:dyDescent="0.45">
      <c r="C120" s="35">
        <f t="shared" si="12"/>
        <v>1014.7</v>
      </c>
      <c r="D120" s="31">
        <f t="shared" si="13"/>
        <v>900</v>
      </c>
      <c r="E120" s="13" cm="1">
        <f t="array" ref="E120">(_xll.Turner.GasRateStd(_xll.Turner.GasVelocityWater($C$2, $C120, $C$1), E$5, $C120, $C$1, $C$2)*1000000)/$D120</f>
        <v>458.1746121555658</v>
      </c>
      <c r="F120" s="13" cm="1">
        <f t="array" ref="F120">(_xll.Turner.GasRateStd(_xll.Turner.GasVelocityWater($C$2, $C120, $C$1), F$5, $C120, $C$1, $C$2)*1000000)/$D120</f>
        <v>659.77144150401466</v>
      </c>
      <c r="G120" s="13" cm="1">
        <f t="array" ref="G120">(_xll.Turner.GasRateStd(_xll.Turner.GasVelocityWater($C$2, $C120, $C$1), G$5, $C120, $C$1, $C$2)*1000000)/$D120</f>
        <v>898.02223982490898</v>
      </c>
      <c r="H120" s="13" cm="1">
        <f t="array" ref="H120">(_xll.Turner.GasRateStd(_xll.Turner.GasVelocityWater($C$2, $C120, $C$1), H$5, $C120, $C$1, $C$2)*1000000)/$D120</f>
        <v>1058.5666239242191</v>
      </c>
      <c r="I120" s="13" cm="1">
        <f t="array" ref="I120">(_xll.Turner.GasRateStd(_xll.Turner.GasVelocityWater($C$2, $C120, $C$1), I$5, $C120, $C$1, $C$2)*1000000)/$D120</f>
        <v>1654.0103498815924</v>
      </c>
      <c r="J120" s="13" cm="1">
        <f t="array" ref="J120">(_xll.Turner.GasRateStd(_xll.Turner.GasVelocityWater($C$2, $C120, $C$1), J$5, $C120, $C$1, $C$2)*1000000)/$D120</f>
        <v>2423.7436983029424</v>
      </c>
      <c r="K120" s="13" cm="1">
        <f t="array" ref="K120">(_xll.Turner.GasRateStd(_xll.Turner.GasVelocityWater($C$2, $C120, $C$1), K$5, $C120, $C$1, $C$2)*1000000)/$D120</f>
        <v>3592.0889592996359</v>
      </c>
      <c r="L120" s="13" cm="1">
        <f t="array" ref="L120">(_xll.Turner.GasRateStd(_xll.Turner.GasVelocityWater($C$2, $C120, $C$1), L$5, $C120, $C$1, $C$2)*1000000)/$D120</f>
        <v>5937.9429735361327</v>
      </c>
      <c r="M120" s="13" cm="1">
        <f t="array" ref="M120">(_xll.Turner.GasRateStd(_xll.Turner.GasVelocityWater($C$2, $C120, $C$1), M$5, $C120, $C$1, $C$2)*1000000)/$D120</f>
        <v>8870.26049133175</v>
      </c>
      <c r="N120" s="13" cm="1">
        <f t="array" ref="N120">(_xll.Turner.GasRateStd(_xll.Turner.GasVelocityWater($C$2, $C120, $C$1), N$5, $C120, $C$1, $C$2)*1000000)/$D120</f>
        <v>14368.355837198544</v>
      </c>
    </row>
    <row r="121" spans="3:14" hidden="1" x14ac:dyDescent="0.45">
      <c r="C121" s="12">
        <f t="shared" si="12"/>
        <v>2014.7</v>
      </c>
      <c r="D121" s="31">
        <f t="shared" si="13"/>
        <v>900</v>
      </c>
      <c r="E121" s="13" cm="1">
        <f t="array" ref="E121">(_xll.Turner.GasRateStd(_xll.Turner.GasVelocityWater($C$2, $C121, $C$1), E$5, $C121, $C$1, $C$2)*1000000)/$D121</f>
        <v>659.77137519639575</v>
      </c>
      <c r="F121" s="13" cm="1">
        <f t="array" ref="F121">(_xll.Turner.GasRateStd(_xll.Turner.GasVelocityWater($C$2, $C121, $C$1), F$5, $C121, $C$1, $C$2)*1000000)/$D121</f>
        <v>950.07078028280989</v>
      </c>
      <c r="G121" s="13" cm="1">
        <f t="array" ref="G121">(_xll.Turner.GasRateStd(_xll.Turner.GasVelocityWater($C$2, $C121, $C$1), G$5, $C121, $C$1, $C$2)*1000000)/$D121</f>
        <v>1293.1518953849359</v>
      </c>
      <c r="H121" s="13" cm="1">
        <f t="array" ref="H121">(_xll.Turner.GasRateStd(_xll.Turner.GasVelocityWater($C$2, $C121, $C$1), H$5, $C121, $C$1, $C$2)*1000000)/$D121</f>
        <v>1524.3357852537524</v>
      </c>
      <c r="I121" s="13" cm="1">
        <f t="array" ref="I121">(_xll.Turner.GasRateStd(_xll.Turner.GasVelocityWater($C$2, $C121, $C$1), I$5, $C121, $C$1, $C$2)*1000000)/$D121</f>
        <v>2381.7746644589879</v>
      </c>
      <c r="J121" s="13" cm="1">
        <f t="array" ref="J121">(_xll.Turner.GasRateStd(_xll.Turner.GasVelocityWater($C$2, $C121, $C$1), J$5, $C121, $C$1, $C$2)*1000000)/$D121</f>
        <v>3490.1905747889332</v>
      </c>
      <c r="K121" s="13" cm="1">
        <f t="array" ref="K121">(_xll.Turner.GasRateStd(_xll.Turner.GasVelocityWater($C$2, $C121, $C$1), K$5, $C121, $C$1, $C$2)*1000000)/$D121</f>
        <v>5172.6075815397435</v>
      </c>
      <c r="L121" s="13" cm="1">
        <f t="array" ref="L121">(_xll.Turner.GasRateStd(_xll.Turner.GasVelocityWater($C$2, $C121, $C$1), L$5, $C121, $C$1, $C$2)*1000000)/$D121</f>
        <v>8550.6370225452883</v>
      </c>
      <c r="M121" s="13" cm="1">
        <f t="array" ref="M121">(_xll.Turner.GasRateStd(_xll.Turner.GasVelocityWater($C$2, $C121, $C$1), M$5, $C121, $C$1, $C$2)*1000000)/$D121</f>
        <v>12773.173823802217</v>
      </c>
      <c r="N121" s="13" cm="1">
        <f t="array" ref="N121">(_xll.Turner.GasRateStd(_xll.Turner.GasVelocityWater($C$2, $C121, $C$1), N$5, $C121, $C$1, $C$2)*1000000)/$D121</f>
        <v>20690.430326158974</v>
      </c>
    </row>
    <row r="122" spans="3:14" hidden="1" x14ac:dyDescent="0.45">
      <c r="C122" s="35">
        <f t="shared" si="12"/>
        <v>3014.7</v>
      </c>
      <c r="D122" s="31">
        <f t="shared" si="13"/>
        <v>900</v>
      </c>
      <c r="E122" s="13" cm="1">
        <f t="array" ref="E122">(_xll.Turner.GasRateStd(_xll.Turner.GasVelocityWater($C$2, $C122, $C$1), E$5, $C122, $C$1, $C$2)*1000000)/$D122</f>
        <v>788.97396704146388</v>
      </c>
      <c r="F122" s="13" cm="1">
        <f t="array" ref="F122">(_xll.Turner.GasRateStd(_xll.Turner.GasVelocityWater($C$2, $C122, $C$1), F$5, $C122, $C$1, $C$2)*1000000)/$D122</f>
        <v>1136.1225125397077</v>
      </c>
      <c r="G122" s="13" cm="1">
        <f t="array" ref="G122">(_xll.Turner.GasRateStd(_xll.Turner.GasVelocityWater($C$2, $C122, $C$1), G$5, $C122, $C$1, $C$2)*1000000)/$D122</f>
        <v>1546.3889754012694</v>
      </c>
      <c r="H122" s="13" cm="1">
        <f t="array" ref="H122">(_xll.Turner.GasRateStd(_xll.Turner.GasVelocityWater($C$2, $C122, $C$1), H$5, $C122, $C$1, $C$2)*1000000)/$D122</f>
        <v>1822.8454534525979</v>
      </c>
      <c r="I122" s="13" cm="1">
        <f t="array" ref="I122">(_xll.Turner.GasRateStd(_xll.Turner.GasVelocityWater($C$2, $C122, $C$1), I$5, $C122, $C$1, $C$2)*1000000)/$D122</f>
        <v>2848.1960210196839</v>
      </c>
      <c r="J122" s="13" cm="1">
        <f t="array" ref="J122">(_xll.Turner.GasRateStd(_xll.Turner.GasVelocityWater($C$2, $C122, $C$1), J$5, $C122, $C$1, $C$2)*1000000)/$D122</f>
        <v>4173.6722856493434</v>
      </c>
      <c r="K122" s="13" cm="1">
        <f t="array" ref="K122">(_xll.Turner.GasRateStd(_xll.Turner.GasVelocityWater($C$2, $C122, $C$1), K$5, $C122, $C$1, $C$2)*1000000)/$D122</f>
        <v>6185.5559016050775</v>
      </c>
      <c r="L122" s="13" cm="1">
        <f t="array" ref="L122">(_xll.Turner.GasRateStd(_xll.Turner.GasVelocityWater($C$2, $C122, $C$1), L$5, $C122, $C$1, $C$2)*1000000)/$D122</f>
        <v>10225.102612857372</v>
      </c>
      <c r="M122" s="13" cm="1">
        <f t="array" ref="M122">(_xll.Turner.GasRateStd(_xll.Turner.GasVelocityWater($C$2, $C122, $C$1), M$5, $C122, $C$1, $C$2)*1000000)/$D122</f>
        <v>15274.536001922739</v>
      </c>
      <c r="N122" s="13" cm="1">
        <f t="array" ref="N122">(_xll.Turner.GasRateStd(_xll.Turner.GasVelocityWater($C$2, $C122, $C$1), N$5, $C122, $C$1, $C$2)*1000000)/$D122</f>
        <v>24742.22360642031</v>
      </c>
    </row>
    <row r="123" spans="3:14" hidden="1" x14ac:dyDescent="0.45">
      <c r="C123" s="12">
        <f t="shared" si="12"/>
        <v>4014.7</v>
      </c>
      <c r="D123" s="31">
        <f t="shared" si="13"/>
        <v>900</v>
      </c>
      <c r="E123" s="13" cm="1">
        <f t="array" ref="E123">(_xll.Turner.GasRateStd(_xll.Turner.GasVelocityWater($C$2, $C123, $C$1), E$5, $C123, $C$1, $C$2)*1000000)/$D123</f>
        <v>868.09022884638284</v>
      </c>
      <c r="F123" s="13" cm="1">
        <f t="array" ref="F123">(_xll.Turner.GasRateStd(_xll.Turner.GasVelocityWater($C$2, $C123, $C$1), F$5, $C123, $C$1, $C$2)*1000000)/$D123</f>
        <v>1250.0499295387913</v>
      </c>
      <c r="G123" s="13" cm="1">
        <f t="array" ref="G123">(_xll.Turner.GasRateStd(_xll.Turner.GasVelocityWater($C$2, $C123, $C$1), G$5, $C123, $C$1, $C$2)*1000000)/$D123</f>
        <v>1701.4568485389104</v>
      </c>
      <c r="H123" s="13" cm="1">
        <f t="array" ref="H123">(_xll.Turner.GasRateStd(_xll.Turner.GasVelocityWater($C$2, $C123, $C$1), H$5, $C123, $C$1, $C$2)*1000000)/$D123</f>
        <v>2005.635664726683</v>
      </c>
      <c r="I123" s="13" cm="1">
        <f t="array" ref="I123">(_xll.Turner.GasRateStd(_xll.Turner.GasVelocityWater($C$2, $C123, $C$1), I$5, $C123, $C$1, $C$2)*1000000)/$D123</f>
        <v>3133.805726135442</v>
      </c>
      <c r="J123" s="13" cm="1">
        <f t="array" ref="J123">(_xll.Turner.GasRateStd(_xll.Turner.GasVelocityWater($C$2, $C123, $C$1), J$5, $C123, $C$1, $C$2)*1000000)/$D123</f>
        <v>4592.1973105973648</v>
      </c>
      <c r="K123" s="13" cm="1">
        <f t="array" ref="K123">(_xll.Turner.GasRateStd(_xll.Turner.GasVelocityWater($C$2, $C123, $C$1), K$5, $C123, $C$1, $C$2)*1000000)/$D123</f>
        <v>6805.8273941556417</v>
      </c>
      <c r="L123" s="13" cm="1">
        <f t="array" ref="L123">(_xll.Turner.GasRateStd(_xll.Turner.GasVelocityWater($C$2, $C123, $C$1), L$5, $C123, $C$1, $C$2)*1000000)/$D123</f>
        <v>11250.449365849121</v>
      </c>
      <c r="M123" s="13" cm="1">
        <f t="array" ref="M123">(_xll.Turner.GasRateStd(_xll.Turner.GasVelocityWater($C$2, $C123, $C$1), M$5, $C123, $C$1, $C$2)*1000000)/$D123</f>
        <v>16806.22683046597</v>
      </c>
      <c r="N123" s="13" cm="1">
        <f t="array" ref="N123">(_xll.Turner.GasRateStd(_xll.Turner.GasVelocityWater($C$2, $C123, $C$1), N$5, $C123, $C$1, $C$2)*1000000)/$D123</f>
        <v>27223.309576622567</v>
      </c>
    </row>
    <row r="124" spans="3:14" hidden="1" x14ac:dyDescent="0.45">
      <c r="C124" s="35">
        <f t="shared" si="12"/>
        <v>5014.7</v>
      </c>
      <c r="D124" s="31">
        <f t="shared" si="13"/>
        <v>900</v>
      </c>
      <c r="E124" s="13" cm="1">
        <f t="array" ref="E124">(_xll.Turner.GasRateStd(_xll.Turner.GasVelocityWater($C$2, $C124, $C$1), E$5, $C124, $C$1, $C$2)*1000000)/$D124</f>
        <v>918.92532740953948</v>
      </c>
      <c r="F124" s="13" cm="1">
        <f t="array" ref="F124">(_xll.Turner.GasRateStd(_xll.Turner.GasVelocityWater($C$2, $C124, $C$1), F$5, $C124, $C$1, $C$2)*1000000)/$D124</f>
        <v>1323.2524714697367</v>
      </c>
      <c r="G124" s="13" cm="1">
        <f t="array" ref="G124">(_xll.Turner.GasRateStd(_xll.Turner.GasVelocityWater($C$2, $C124, $C$1), G$5, $C124, $C$1, $C$2)*1000000)/$D124</f>
        <v>1801.0936417226972</v>
      </c>
      <c r="H124" s="13" cm="1">
        <f t="array" ref="H124">(_xll.Turner.GasRateStd(_xll.Turner.GasVelocityWater($C$2, $C124, $C$1), H$5, $C124, $C$1, $C$2)*1000000)/$D124</f>
        <v>2123.0850764469997</v>
      </c>
      <c r="I124" s="13" cm="1">
        <f t="array" ref="I124">(_xll.Turner.GasRateStd(_xll.Turner.GasVelocityWater($C$2, $C124, $C$1), I$5, $C124, $C$1, $C$2)*1000000)/$D124</f>
        <v>3317.3204319484366</v>
      </c>
      <c r="J124" s="13" cm="1">
        <f t="array" ref="J124">(_xll.Turner.GasRateStd(_xll.Turner.GasVelocityWater($C$2, $C124, $C$1), J$5, $C124, $C$1, $C$2)*1000000)/$D124</f>
        <v>4861.114981996463</v>
      </c>
      <c r="K124" s="13" cm="1">
        <f t="array" ref="K124">(_xll.Turner.GasRateStd(_xll.Turner.GasVelocityWater($C$2, $C124, $C$1), K$5, $C124, $C$1, $C$2)*1000000)/$D124</f>
        <v>7204.3745668907886</v>
      </c>
      <c r="L124" s="13" cm="1">
        <f t="array" ref="L124">(_xll.Turner.GasRateStd(_xll.Turner.GasVelocityWater($C$2, $C124, $C$1), L$5, $C124, $C$1, $C$2)*1000000)/$D124</f>
        <v>11909.272243227631</v>
      </c>
      <c r="M124" s="13" cm="1">
        <f t="array" ref="M124">(_xll.Turner.GasRateStd(_xll.Turner.GasVelocityWater($C$2, $C124, $C$1), M$5, $C124, $C$1, $C$2)*1000000)/$D124</f>
        <v>17790.394338648679</v>
      </c>
      <c r="N124" s="13" cm="1">
        <f t="array" ref="N124">(_xll.Turner.GasRateStd(_xll.Turner.GasVelocityWater($C$2, $C124, $C$1), N$5, $C124, $C$1, $C$2)*1000000)/$D124</f>
        <v>28817.498267563155</v>
      </c>
    </row>
    <row r="125" spans="3:14" x14ac:dyDescent="0.45">
      <c r="C125" s="12">
        <f t="shared" ref="C125:C133" si="14">C116</f>
        <v>64.7</v>
      </c>
      <c r="D125" s="33">
        <f t="shared" ref="D125:D133" si="15">D116+100</f>
        <v>1000</v>
      </c>
      <c r="E125" s="13" cm="1">
        <f t="array" ref="E125">(_xll.Turner.GasRateStd(_xll.Turner.GasVelocityWater($C$2, $C125, $C$1), E$5, $C125, $C$1, $C$2)*1000000)/$D125</f>
        <v>99.416829849313402</v>
      </c>
      <c r="F125" s="13" cm="1">
        <f t="array" ref="F125">(_xll.Turner.GasRateStd(_xll.Turner.GasVelocityWater($C$2, $C125, $C$1), F$5, $C125, $C$1, $C$2)*1000000)/$D125</f>
        <v>143.16023498301129</v>
      </c>
      <c r="G125" s="13" cm="1">
        <f t="array" ref="G125">(_xll.Turner.GasRateStd(_xll.Turner.GasVelocityWater($C$2, $C125, $C$1), G$5, $C125, $C$1, $C$2)*1000000)/$D125</f>
        <v>194.85698650465432</v>
      </c>
      <c r="H125" s="13" cm="1">
        <f t="array" ref="H125">(_xll.Turner.GasRateStd(_xll.Turner.GasVelocityWater($C$2, $C125, $C$1), H$5, $C125, $C$1, $C$2)*1000000)/$D125</f>
        <v>229.69264368385367</v>
      </c>
      <c r="I125" s="13" cm="1">
        <f t="array" ref="I125">(_xll.Turner.GasRateStd(_xll.Turner.GasVelocityWater($C$2, $C125, $C$1), I$5, $C125, $C$1, $C$2)*1000000)/$D125</f>
        <v>358.89475575602142</v>
      </c>
      <c r="J125" s="13" cm="1">
        <f t="array" ref="J125">(_xll.Turner.GasRateStd(_xll.Turner.GasVelocityWater($C$2, $C125, $C$1), J$5, $C125, $C$1, $C$2)*1000000)/$D125</f>
        <v>525.9150299028679</v>
      </c>
      <c r="K125" s="13" cm="1">
        <f t="array" ref="K125">(_xll.Turner.GasRateStd(_xll.Turner.GasVelocityWater($C$2, $C125, $C$1), K$5, $C125, $C$1, $C$2)*1000000)/$D125</f>
        <v>779.42794601861726</v>
      </c>
      <c r="L125" s="13" cm="1">
        <f t="array" ref="L125">(_xll.Turner.GasRateStd(_xll.Turner.GasVelocityWater($C$2, $C125, $C$1), L$5, $C125, $C$1, $C$2)*1000000)/$D125</f>
        <v>1288.4421148471019</v>
      </c>
      <c r="M125" s="13" cm="1">
        <f t="array" ref="M125">(_xll.Turner.GasRateStd(_xll.Turner.GasVelocityWater($C$2, $C125, $C$1), M$5, $C125, $C$1, $C$2)*1000000)/$D125</f>
        <v>1924.709825882707</v>
      </c>
      <c r="N125" s="13" cm="1">
        <f t="array" ref="N125">(_xll.Turner.GasRateStd(_xll.Turner.GasVelocityWater($C$2, $C125, $C$1), N$5, $C125, $C$1, $C$2)*1000000)/$D125</f>
        <v>3117.7117840744691</v>
      </c>
    </row>
    <row r="126" spans="3:14" hidden="1" x14ac:dyDescent="0.45">
      <c r="C126" s="35">
        <f t="shared" si="14"/>
        <v>114.7</v>
      </c>
      <c r="D126" s="33">
        <f t="shared" si="15"/>
        <v>1000</v>
      </c>
      <c r="E126" s="13" cm="1">
        <f t="array" ref="E126">(_xll.Turner.GasRateStd(_xll.Turner.GasVelocityWater($C$2, $C126, $C$1), E$5, $C126, $C$1, $C$2)*1000000)/$D126</f>
        <v>132.71675446773472</v>
      </c>
      <c r="F126" s="13" cm="1">
        <f t="array" ref="F126">(_xll.Turner.GasRateStd(_xll.Turner.GasVelocityWater($C$2, $C126, $C$1), F$5, $C126, $C$1, $C$2)*1000000)/$D126</f>
        <v>191.11212643353798</v>
      </c>
      <c r="G126" s="13" cm="1">
        <f t="array" ref="G126">(_xll.Turner.GasRateStd(_xll.Turner.GasVelocityWater($C$2, $C126, $C$1), G$5, $C126, $C$1, $C$2)*1000000)/$D126</f>
        <v>260.12483875676008</v>
      </c>
      <c r="H126" s="13" cm="1">
        <f t="array" ref="H126">(_xll.Turner.GasRateStd(_xll.Turner.GasVelocityWater($C$2, $C126, $C$1), H$5, $C126, $C$1, $C$2)*1000000)/$D126</f>
        <v>306.62878952225429</v>
      </c>
      <c r="I126" s="13" cm="1">
        <f t="array" ref="I126">(_xll.Turner.GasRateStd(_xll.Turner.GasVelocityWater($C$2, $C126, $C$1), I$5, $C126, $C$1, $C$2)*1000000)/$D126</f>
        <v>479.10748362852223</v>
      </c>
      <c r="J126" s="13" cm="1">
        <f t="array" ref="J126">(_xll.Turner.GasRateStd(_xll.Turner.GasVelocityWater($C$2, $C126, $C$1), J$5, $C126, $C$1, $C$2)*1000000)/$D126</f>
        <v>702.0716311343167</v>
      </c>
      <c r="K126" s="13" cm="1">
        <f t="array" ref="K126">(_xll.Turner.GasRateStd(_xll.Turner.GasVelocityWater($C$2, $C126, $C$1), K$5, $C126, $C$1, $C$2)*1000000)/$D126</f>
        <v>1040.4993550270403</v>
      </c>
      <c r="L126" s="13" cm="1">
        <f t="array" ref="L126">(_xll.Turner.GasRateStd(_xll.Turner.GasVelocityWater($C$2, $C126, $C$1), L$5, $C126, $C$1, $C$2)*1000000)/$D126</f>
        <v>1720.009137901842</v>
      </c>
      <c r="M126" s="13" cm="1">
        <f t="array" ref="M126">(_xll.Turner.GasRateStd(_xll.Turner.GasVelocityWater($C$2, $C126, $C$1), M$5, $C126, $C$1, $C$2)*1000000)/$D126</f>
        <v>2569.396366495344</v>
      </c>
      <c r="N126" s="13" cm="1">
        <f t="array" ref="N126">(_xll.Turner.GasRateStd(_xll.Turner.GasVelocityWater($C$2, $C126, $C$1), N$5, $C126, $C$1, $C$2)*1000000)/$D126</f>
        <v>4161.9974201081614</v>
      </c>
    </row>
    <row r="127" spans="3:14" hidden="1" x14ac:dyDescent="0.45">
      <c r="C127" s="12">
        <f t="shared" si="14"/>
        <v>264.7</v>
      </c>
      <c r="D127" s="33">
        <f t="shared" si="15"/>
        <v>1000</v>
      </c>
      <c r="E127" s="13" cm="1">
        <f t="array" ref="E127">(_xll.Turner.GasRateStd(_xll.Turner.GasVelocityWater($C$2, $C127, $C$1), E$5, $C127, $C$1, $C$2)*1000000)/$D127</f>
        <v>203.19533721192852</v>
      </c>
      <c r="F127" s="13" cm="1">
        <f t="array" ref="F127">(_xll.Turner.GasRateStd(_xll.Turner.GasVelocityWater($C$2, $C127, $C$1), F$5, $C127, $C$1, $C$2)*1000000)/$D127</f>
        <v>292.6012855851771</v>
      </c>
      <c r="G127" s="13" cm="1">
        <f t="array" ref="G127">(_xll.Turner.GasRateStd(_xll.Turner.GasVelocityWater($C$2, $C127, $C$1), G$5, $C127, $C$1, $C$2)*1000000)/$D127</f>
        <v>398.26286093537988</v>
      </c>
      <c r="H127" s="13" cm="1">
        <f t="array" ref="H127">(_xll.Turner.GasRateStd(_xll.Turner.GasVelocityWater($C$2, $C127, $C$1), H$5, $C127, $C$1, $C$2)*1000000)/$D127</f>
        <v>469.4625070944395</v>
      </c>
      <c r="I127" s="13" cm="1">
        <f t="array" ref="I127">(_xll.Turner.GasRateStd(_xll.Turner.GasVelocityWater($C$2, $C127, $C$1), I$5, $C127, $C$1, $C$2)*1000000)/$D127</f>
        <v>733.53516733506171</v>
      </c>
      <c r="J127" s="13" cm="1">
        <f t="array" ref="J127">(_xll.Turner.GasRateStd(_xll.Turner.GasVelocityWater($C$2, $C127, $C$1), J$5, $C127, $C$1, $C$2)*1000000)/$D127</f>
        <v>1074.9033338511015</v>
      </c>
      <c r="K127" s="13" cm="1">
        <f t="array" ref="K127">(_xll.Turner.GasRateStd(_xll.Turner.GasVelocityWater($C$2, $C127, $C$1), K$5, $C127, $C$1, $C$2)*1000000)/$D127</f>
        <v>1593.0514437415195</v>
      </c>
      <c r="L127" s="13" cm="1">
        <f t="array" ref="L127">(_xll.Turner.GasRateStd(_xll.Turner.GasVelocityWater($C$2, $C127, $C$1), L$5, $C127, $C$1, $C$2)*1000000)/$D127</f>
        <v>2633.4115702665931</v>
      </c>
      <c r="M127" s="13" cm="1">
        <f t="array" ref="M127">(_xll.Turner.GasRateStd(_xll.Turner.GasVelocityWater($C$2, $C127, $C$1), M$5, $C127, $C$1, $C$2)*1000000)/$D127</f>
        <v>3933.8617284229344</v>
      </c>
      <c r="N127" s="13" cm="1">
        <f t="array" ref="N127">(_xll.Turner.GasRateStd(_xll.Turner.GasVelocityWater($C$2, $C127, $C$1), N$5, $C127, $C$1, $C$2)*1000000)/$D127</f>
        <v>6372.205774966078</v>
      </c>
    </row>
    <row r="128" spans="3:14" hidden="1" x14ac:dyDescent="0.45">
      <c r="C128" s="35">
        <f t="shared" si="14"/>
        <v>514.70000000000005</v>
      </c>
      <c r="D128" s="33">
        <f t="shared" si="15"/>
        <v>1000</v>
      </c>
      <c r="E128" s="13" cm="1">
        <f t="array" ref="E128">(_xll.Turner.GasRateStd(_xll.Turner.GasVelocityWater($C$2, $C128, $C$1), E$5, $C128, $C$1, $C$2)*1000000)/$D128</f>
        <v>286.98142885047696</v>
      </c>
      <c r="F128" s="13" cm="1">
        <f t="array" ref="F128">(_xll.Turner.GasRateStd(_xll.Turner.GasVelocityWater($C$2, $C128, $C$1), F$5, $C128, $C$1, $C$2)*1000000)/$D128</f>
        <v>413.25325754468679</v>
      </c>
      <c r="G128" s="13" cm="1">
        <f t="array" ref="G128">(_xll.Turner.GasRateStd(_xll.Turner.GasVelocityWater($C$2, $C128, $C$1), G$5, $C128, $C$1, $C$2)*1000000)/$D128</f>
        <v>562.48360054693478</v>
      </c>
      <c r="H128" s="13" cm="1">
        <f t="array" ref="H128">(_xll.Turner.GasRateStd(_xll.Turner.GasVelocityWater($C$2, $C128, $C$1), H$5, $C128, $C$1, $C$2)*1000000)/$D128</f>
        <v>663.04189321614183</v>
      </c>
      <c r="I128" s="13" cm="1">
        <f t="array" ref="I128">(_xll.Turner.GasRateStd(_xll.Turner.GasVelocityWater($C$2, $C128, $C$1), I$5, $C128, $C$1, $C$2)*1000000)/$D128</f>
        <v>1036.0029581502217</v>
      </c>
      <c r="J128" s="13" cm="1">
        <f t="array" ref="J128">(_xll.Turner.GasRateStd(_xll.Turner.GasVelocityWater($C$2, $C128, $C$1), J$5, $C128, $C$1, $C$2)*1000000)/$D128</f>
        <v>1518.131758619023</v>
      </c>
      <c r="K128" s="13" cm="1">
        <f t="array" ref="K128">(_xll.Turner.GasRateStd(_xll.Turner.GasVelocityWater($C$2, $C128, $C$1), K$5, $C128, $C$1, $C$2)*1000000)/$D128</f>
        <v>2249.9344021877391</v>
      </c>
      <c r="L128" s="13" cm="1">
        <f t="array" ref="L128">(_xll.Turner.GasRateStd(_xll.Turner.GasVelocityWater($C$2, $C128, $C$1), L$5, $C128, $C$1, $C$2)*1000000)/$D128</f>
        <v>3719.279317902181</v>
      </c>
      <c r="M128" s="13" cm="1">
        <f t="array" ref="M128">(_xll.Turner.GasRateStd(_xll.Turner.GasVelocityWater($C$2, $C128, $C$1), M$5, $C128, $C$1, $C$2)*1000000)/$D128</f>
        <v>5555.960462545233</v>
      </c>
      <c r="N128" s="13" cm="1">
        <f t="array" ref="N128">(_xll.Turner.GasRateStd(_xll.Turner.GasVelocityWater($C$2, $C128, $C$1), N$5, $C128, $C$1, $C$2)*1000000)/$D128</f>
        <v>8999.7376087509565</v>
      </c>
    </row>
    <row r="129" spans="3:14" hidden="1" x14ac:dyDescent="0.45">
      <c r="C129" s="12">
        <f t="shared" si="14"/>
        <v>1014.7</v>
      </c>
      <c r="D129" s="33">
        <f t="shared" si="15"/>
        <v>1000</v>
      </c>
      <c r="E129" s="13" cm="1">
        <f t="array" ref="E129">(_xll.Turner.GasRateStd(_xll.Turner.GasVelocityWater($C$2, $C129, $C$1), E$5, $C129, $C$1, $C$2)*1000000)/$D129</f>
        <v>412.35715094000921</v>
      </c>
      <c r="F129" s="13" cm="1">
        <f t="array" ref="F129">(_xll.Turner.GasRateStd(_xll.Turner.GasVelocityWater($C$2, $C129, $C$1), F$5, $C129, $C$1, $C$2)*1000000)/$D129</f>
        <v>593.79429735361316</v>
      </c>
      <c r="G129" s="13" cm="1">
        <f t="array" ref="G129">(_xll.Turner.GasRateStd(_xll.Turner.GasVelocityWater($C$2, $C129, $C$1), G$5, $C129, $C$1, $C$2)*1000000)/$D129</f>
        <v>808.22001584241809</v>
      </c>
      <c r="H129" s="13" cm="1">
        <f t="array" ref="H129">(_xll.Turner.GasRateStd(_xll.Turner.GasVelocityWater($C$2, $C129, $C$1), H$5, $C129, $C$1, $C$2)*1000000)/$D129</f>
        <v>952.70996153179715</v>
      </c>
      <c r="I129" s="13" cm="1">
        <f t="array" ref="I129">(_xll.Turner.GasRateStd(_xll.Turner.GasVelocityWater($C$2, $C129, $C$1), I$5, $C129, $C$1, $C$2)*1000000)/$D129</f>
        <v>1488.6093148934331</v>
      </c>
      <c r="J129" s="13" cm="1">
        <f t="array" ref="J129">(_xll.Turner.GasRateStd(_xll.Turner.GasVelocityWater($C$2, $C129, $C$1), J$5, $C129, $C$1, $C$2)*1000000)/$D129</f>
        <v>2181.3693284726482</v>
      </c>
      <c r="K129" s="13" cm="1">
        <f t="array" ref="K129">(_xll.Turner.GasRateStd(_xll.Turner.GasVelocityWater($C$2, $C129, $C$1), K$5, $C129, $C$1, $C$2)*1000000)/$D129</f>
        <v>3232.8800633696724</v>
      </c>
      <c r="L129" s="13" cm="1">
        <f t="array" ref="L129">(_xll.Turner.GasRateStd(_xll.Turner.GasVelocityWater($C$2, $C129, $C$1), L$5, $C129, $C$1, $C$2)*1000000)/$D129</f>
        <v>5344.1486761825199</v>
      </c>
      <c r="M129" s="13" cm="1">
        <f t="array" ref="M129">(_xll.Turner.GasRateStd(_xll.Turner.GasVelocityWater($C$2, $C129, $C$1), M$5, $C129, $C$1, $C$2)*1000000)/$D129</f>
        <v>7983.2344421985754</v>
      </c>
      <c r="N129" s="13" cm="1">
        <f t="array" ref="N129">(_xll.Turner.GasRateStd(_xll.Turner.GasVelocityWater($C$2, $C129, $C$1), N$5, $C129, $C$1, $C$2)*1000000)/$D129</f>
        <v>12931.520253478689</v>
      </c>
    </row>
    <row r="130" spans="3:14" hidden="1" x14ac:dyDescent="0.45">
      <c r="C130" s="35">
        <f t="shared" si="14"/>
        <v>2014.7</v>
      </c>
      <c r="D130" s="33">
        <f t="shared" si="15"/>
        <v>1000</v>
      </c>
      <c r="E130" s="13" cm="1">
        <f t="array" ref="E130">(_xll.Turner.GasRateStd(_xll.Turner.GasVelocityWater($C$2, $C130, $C$1), E$5, $C130, $C$1, $C$2)*1000000)/$D130</f>
        <v>593.79423767675621</v>
      </c>
      <c r="F130" s="13" cm="1">
        <f t="array" ref="F130">(_xll.Turner.GasRateStd(_xll.Turner.GasVelocityWater($C$2, $C130, $C$1), F$5, $C130, $C$1, $C$2)*1000000)/$D130</f>
        <v>855.06370225452883</v>
      </c>
      <c r="G130" s="13" cm="1">
        <f t="array" ref="G130">(_xll.Turner.GasRateStd(_xll.Turner.GasVelocityWater($C$2, $C130, $C$1), G$5, $C130, $C$1, $C$2)*1000000)/$D130</f>
        <v>1163.8367058464423</v>
      </c>
      <c r="H130" s="13" cm="1">
        <f t="array" ref="H130">(_xll.Turner.GasRateStd(_xll.Turner.GasVelocityWater($C$2, $C130, $C$1), H$5, $C130, $C$1, $C$2)*1000000)/$D130</f>
        <v>1371.9022067283772</v>
      </c>
      <c r="I130" s="13" cm="1">
        <f t="array" ref="I130">(_xll.Turner.GasRateStd(_xll.Turner.GasVelocityWater($C$2, $C130, $C$1), I$5, $C130, $C$1, $C$2)*1000000)/$D130</f>
        <v>2143.5971980130889</v>
      </c>
      <c r="J130" s="13" cm="1">
        <f t="array" ref="J130">(_xll.Turner.GasRateStd(_xll.Turner.GasVelocityWater($C$2, $C130, $C$1), J$5, $C130, $C$1, $C$2)*1000000)/$D130</f>
        <v>3141.1715173100401</v>
      </c>
      <c r="K130" s="13" cm="1">
        <f t="array" ref="K130">(_xll.Turner.GasRateStd(_xll.Turner.GasVelocityWater($C$2, $C130, $C$1), K$5, $C130, $C$1, $C$2)*1000000)/$D130</f>
        <v>4655.3468233857693</v>
      </c>
      <c r="L130" s="13" cm="1">
        <f t="array" ref="L130">(_xll.Turner.GasRateStd(_xll.Turner.GasVelocityWater($C$2, $C130, $C$1), L$5, $C130, $C$1, $C$2)*1000000)/$D130</f>
        <v>7695.5733202907604</v>
      </c>
      <c r="M130" s="13" cm="1">
        <f t="array" ref="M130">(_xll.Turner.GasRateStd(_xll.Turner.GasVelocityWater($C$2, $C130, $C$1), M$5, $C130, $C$1, $C$2)*1000000)/$D130</f>
        <v>11495.856441421995</v>
      </c>
      <c r="N130" s="13" cm="1">
        <f t="array" ref="N130">(_xll.Turner.GasRateStd(_xll.Turner.GasVelocityWater($C$2, $C130, $C$1), N$5, $C130, $C$1, $C$2)*1000000)/$D130</f>
        <v>18621.387293543077</v>
      </c>
    </row>
    <row r="131" spans="3:14" hidden="1" x14ac:dyDescent="0.45">
      <c r="C131" s="12">
        <f t="shared" si="14"/>
        <v>3014.7</v>
      </c>
      <c r="D131" s="33">
        <f t="shared" si="15"/>
        <v>1000</v>
      </c>
      <c r="E131" s="13" cm="1">
        <f t="array" ref="E131">(_xll.Turner.GasRateStd(_xll.Turner.GasVelocityWater($C$2, $C131, $C$1), E$5, $C131, $C$1, $C$2)*1000000)/$D131</f>
        <v>710.07657033731755</v>
      </c>
      <c r="F131" s="13" cm="1">
        <f t="array" ref="F131">(_xll.Turner.GasRateStd(_xll.Turner.GasVelocityWater($C$2, $C131, $C$1), F$5, $C131, $C$1, $C$2)*1000000)/$D131</f>
        <v>1022.510261285737</v>
      </c>
      <c r="G131" s="13" cm="1">
        <f t="array" ref="G131">(_xll.Turner.GasRateStd(_xll.Turner.GasVelocityWater($C$2, $C131, $C$1), G$5, $C131, $C$1, $C$2)*1000000)/$D131</f>
        <v>1391.7500778611422</v>
      </c>
      <c r="H131" s="13" cm="1">
        <f t="array" ref="H131">(_xll.Turner.GasRateStd(_xll.Turner.GasVelocityWater($C$2, $C131, $C$1), H$5, $C131, $C$1, $C$2)*1000000)/$D131</f>
        <v>1640.560908107338</v>
      </c>
      <c r="I131" s="13" cm="1">
        <f t="array" ref="I131">(_xll.Turner.GasRateStd(_xll.Turner.GasVelocityWater($C$2, $C131, $C$1), I$5, $C131, $C$1, $C$2)*1000000)/$D131</f>
        <v>2563.3764189177155</v>
      </c>
      <c r="J131" s="13" cm="1">
        <f t="array" ref="J131">(_xll.Turner.GasRateStd(_xll.Turner.GasVelocityWater($C$2, $C131, $C$1), J$5, $C131, $C$1, $C$2)*1000000)/$D131</f>
        <v>3756.3050570844089</v>
      </c>
      <c r="K131" s="13" cm="1">
        <f t="array" ref="K131">(_xll.Turner.GasRateStd(_xll.Turner.GasVelocityWater($C$2, $C131, $C$1), K$5, $C131, $C$1, $C$2)*1000000)/$D131</f>
        <v>5567.000311444569</v>
      </c>
      <c r="L131" s="13" cm="1">
        <f t="array" ref="L131">(_xll.Turner.GasRateStd(_xll.Turner.GasVelocityWater($C$2, $C131, $C$1), L$5, $C131, $C$1, $C$2)*1000000)/$D131</f>
        <v>9202.5923515716349</v>
      </c>
      <c r="M131" s="13" cm="1">
        <f t="array" ref="M131">(_xll.Turner.GasRateStd(_xll.Turner.GasVelocityWater($C$2, $C131, $C$1), M$5, $C131, $C$1, $C$2)*1000000)/$D131</f>
        <v>13747.082401730464</v>
      </c>
      <c r="N131" s="13" cm="1">
        <f t="array" ref="N131">(_xll.Turner.GasRateStd(_xll.Turner.GasVelocityWater($C$2, $C131, $C$1), N$5, $C131, $C$1, $C$2)*1000000)/$D131</f>
        <v>22268.001245778276</v>
      </c>
    </row>
    <row r="132" spans="3:14" hidden="1" x14ac:dyDescent="0.45">
      <c r="C132" s="35">
        <f t="shared" si="14"/>
        <v>4014.7</v>
      </c>
      <c r="D132" s="33">
        <f t="shared" si="15"/>
        <v>1000</v>
      </c>
      <c r="E132" s="13" cm="1">
        <f t="array" ref="E132">(_xll.Turner.GasRateStd(_xll.Turner.GasVelocityWater($C$2, $C132, $C$1), E$5, $C132, $C$1, $C$2)*1000000)/$D132</f>
        <v>781.28120596174449</v>
      </c>
      <c r="F132" s="13" cm="1">
        <f t="array" ref="F132">(_xll.Turner.GasRateStd(_xll.Turner.GasVelocityWater($C$2, $C132, $C$1), F$5, $C132, $C$1, $C$2)*1000000)/$D132</f>
        <v>1125.0449365849122</v>
      </c>
      <c r="G132" s="13" cm="1">
        <f t="array" ref="G132">(_xll.Turner.GasRateStd(_xll.Turner.GasVelocityWater($C$2, $C132, $C$1), G$5, $C132, $C$1, $C$2)*1000000)/$D132</f>
        <v>1531.3111636850194</v>
      </c>
      <c r="H132" s="13" cm="1">
        <f t="array" ref="H132">(_xll.Turner.GasRateStd(_xll.Turner.GasVelocityWater($C$2, $C132, $C$1), H$5, $C132, $C$1, $C$2)*1000000)/$D132</f>
        <v>1805.0720982540147</v>
      </c>
      <c r="I132" s="13" cm="1">
        <f t="array" ref="I132">(_xll.Turner.GasRateStd(_xll.Turner.GasVelocityWater($C$2, $C132, $C$1), I$5, $C132, $C$1, $C$2)*1000000)/$D132</f>
        <v>2820.4251535218978</v>
      </c>
      <c r="J132" s="13" cm="1">
        <f t="array" ref="J132">(_xll.Turner.GasRateStd(_xll.Turner.GasVelocityWater($C$2, $C132, $C$1), J$5, $C132, $C$1, $C$2)*1000000)/$D132</f>
        <v>4132.977579537629</v>
      </c>
      <c r="K132" s="13" cm="1">
        <f t="array" ref="K132">(_xll.Turner.GasRateStd(_xll.Turner.GasVelocityWater($C$2, $C132, $C$1), K$5, $C132, $C$1, $C$2)*1000000)/$D132</f>
        <v>6125.2446547400777</v>
      </c>
      <c r="L132" s="13" cm="1">
        <f t="array" ref="L132">(_xll.Turner.GasRateStd(_xll.Turner.GasVelocityWater($C$2, $C132, $C$1), L$5, $C132, $C$1, $C$2)*1000000)/$D132</f>
        <v>10125.404429264208</v>
      </c>
      <c r="M132" s="13" cm="1">
        <f t="array" ref="M132">(_xll.Turner.GasRateStd(_xll.Turner.GasVelocityWater($C$2, $C132, $C$1), M$5, $C132, $C$1, $C$2)*1000000)/$D132</f>
        <v>15125.604147419375</v>
      </c>
      <c r="N132" s="13" cm="1">
        <f t="array" ref="N132">(_xll.Turner.GasRateStd(_xll.Turner.GasVelocityWater($C$2, $C132, $C$1), N$5, $C132, $C$1, $C$2)*1000000)/$D132</f>
        <v>24500.978618960311</v>
      </c>
    </row>
    <row r="133" spans="3:14" hidden="1" x14ac:dyDescent="0.45">
      <c r="C133" s="12">
        <f t="shared" si="14"/>
        <v>5014.7</v>
      </c>
      <c r="D133" s="33">
        <f t="shared" si="15"/>
        <v>1000</v>
      </c>
      <c r="E133" s="13" cm="1">
        <f t="array" ref="E133">(_xll.Turner.GasRateStd(_xll.Turner.GasVelocityWater($C$2, $C133, $C$1), E$5, $C133, $C$1, $C$2)*1000000)/$D133</f>
        <v>827.03279466858555</v>
      </c>
      <c r="F133" s="13" cm="1">
        <f t="array" ref="F133">(_xll.Turner.GasRateStd(_xll.Turner.GasVelocityWater($C$2, $C133, $C$1), F$5, $C133, $C$1, $C$2)*1000000)/$D133</f>
        <v>1190.9272243227631</v>
      </c>
      <c r="G133" s="13" cm="1">
        <f t="array" ref="G133">(_xll.Turner.GasRateStd(_xll.Turner.GasVelocityWater($C$2, $C133, $C$1), G$5, $C133, $C$1, $C$2)*1000000)/$D133</f>
        <v>1620.9842775504276</v>
      </c>
      <c r="H133" s="13" cm="1">
        <f t="array" ref="H133">(_xll.Turner.GasRateStd(_xll.Turner.GasVelocityWater($C$2, $C133, $C$1), H$5, $C133, $C$1, $C$2)*1000000)/$D133</f>
        <v>1910.7765688022996</v>
      </c>
      <c r="I133" s="13" cm="1">
        <f t="array" ref="I133">(_xll.Turner.GasRateStd(_xll.Turner.GasVelocityWater($C$2, $C133, $C$1), I$5, $C133, $C$1, $C$2)*1000000)/$D133</f>
        <v>2985.5883887535929</v>
      </c>
      <c r="J133" s="13" cm="1">
        <f t="array" ref="J133">(_xll.Turner.GasRateStd(_xll.Turner.GasVelocityWater($C$2, $C133, $C$1), J$5, $C133, $C$1, $C$2)*1000000)/$D133</f>
        <v>4375.003483796816</v>
      </c>
      <c r="K133" s="13" cm="1">
        <f t="array" ref="K133">(_xll.Turner.GasRateStd(_xll.Turner.GasVelocityWater($C$2, $C133, $C$1), K$5, $C133, $C$1, $C$2)*1000000)/$D133</f>
        <v>6483.9371102017103</v>
      </c>
      <c r="L133" s="13" cm="1">
        <f t="array" ref="L133">(_xll.Turner.GasRateStd(_xll.Turner.GasVelocityWater($C$2, $C133, $C$1), L$5, $C133, $C$1, $C$2)*1000000)/$D133</f>
        <v>10718.345018904869</v>
      </c>
      <c r="M133" s="13" cm="1">
        <f t="array" ref="M133">(_xll.Turner.GasRateStd(_xll.Turner.GasVelocityWater($C$2, $C133, $C$1), M$5, $C133, $C$1, $C$2)*1000000)/$D133</f>
        <v>16011.354904783811</v>
      </c>
      <c r="N133" s="13" cm="1">
        <f t="array" ref="N133">(_xll.Turner.GasRateStd(_xll.Turner.GasVelocityWater($C$2, $C133, $C$1), N$5, $C133, $C$1, $C$2)*1000000)/$D133</f>
        <v>25935.748440806841</v>
      </c>
    </row>
    <row r="134" spans="3:14" x14ac:dyDescent="0.45">
      <c r="C134" s="35">
        <f t="shared" ref="C134:C160" si="16">C125</f>
        <v>64.7</v>
      </c>
      <c r="D134" s="33">
        <f>D125+1000</f>
        <v>2000</v>
      </c>
      <c r="E134" s="13" cm="1">
        <f t="array" ref="E134">(_xll.Turner.GasRateStd(_xll.Turner.GasVelocityWater($C$2, $C134, $C$1), E$5, $C134, $C$1, $C$2)*1000000)/$D134</f>
        <v>49.708414924656701</v>
      </c>
      <c r="F134" s="13" cm="1">
        <f t="array" ref="F134">(_xll.Turner.GasRateStd(_xll.Turner.GasVelocityWater($C$2, $C134, $C$1), F$5, $C134, $C$1, $C$2)*1000000)/$D134</f>
        <v>71.580117491505646</v>
      </c>
      <c r="G134" s="13" cm="1">
        <f t="array" ref="G134">(_xll.Turner.GasRateStd(_xll.Turner.GasVelocityWater($C$2, $C134, $C$1), G$5, $C134, $C$1, $C$2)*1000000)/$D134</f>
        <v>97.428493252327158</v>
      </c>
      <c r="H134" s="13" cm="1">
        <f t="array" ref="H134">(_xll.Turner.GasRateStd(_xll.Turner.GasVelocityWater($C$2, $C134, $C$1), H$5, $C134, $C$1, $C$2)*1000000)/$D134</f>
        <v>114.84632184192684</v>
      </c>
      <c r="I134" s="13" cm="1">
        <f t="array" ref="I134">(_xll.Turner.GasRateStd(_xll.Turner.GasVelocityWater($C$2, $C134, $C$1), I$5, $C134, $C$1, $C$2)*1000000)/$D134</f>
        <v>179.44737787801071</v>
      </c>
      <c r="J134" s="13" cm="1">
        <f t="array" ref="J134">(_xll.Turner.GasRateStd(_xll.Turner.GasVelocityWater($C$2, $C134, $C$1), J$5, $C134, $C$1, $C$2)*1000000)/$D134</f>
        <v>262.95751495143395</v>
      </c>
      <c r="K134" s="13" cm="1">
        <f t="array" ref="K134">(_xll.Turner.GasRateStd(_xll.Turner.GasVelocityWater($C$2, $C134, $C$1), K$5, $C134, $C$1, $C$2)*1000000)/$D134</f>
        <v>389.71397300930863</v>
      </c>
      <c r="L134" s="13" cm="1">
        <f t="array" ref="L134">(_xll.Turner.GasRateStd(_xll.Turner.GasVelocityWater($C$2, $C134, $C$1), L$5, $C134, $C$1, $C$2)*1000000)/$D134</f>
        <v>644.22105742355097</v>
      </c>
      <c r="M134" s="13" cm="1">
        <f t="array" ref="M134">(_xll.Turner.GasRateStd(_xll.Turner.GasVelocityWater($C$2, $C134, $C$1), M$5, $C134, $C$1, $C$2)*1000000)/$D134</f>
        <v>962.35491294135352</v>
      </c>
      <c r="N134" s="13" cm="1">
        <f t="array" ref="N134">(_xll.Turner.GasRateStd(_xll.Turner.GasVelocityWater($C$2, $C134, $C$1), N$5, $C134, $C$1, $C$2)*1000000)/$D134</f>
        <v>1558.8558920372345</v>
      </c>
    </row>
    <row r="135" spans="3:14" hidden="1" x14ac:dyDescent="0.45">
      <c r="C135" s="12">
        <f t="shared" si="16"/>
        <v>114.7</v>
      </c>
      <c r="D135" s="33">
        <f t="shared" ref="D135:D178" si="17">D126+1000</f>
        <v>2000</v>
      </c>
      <c r="E135" s="13" cm="1">
        <f t="array" ref="E135">(_xll.Turner.GasRateStd(_xll.Turner.GasVelocityWater($C$2, $C135, $C$1), E$5, $C135, $C$1, $C$2)*1000000)/$D135</f>
        <v>66.358377233867358</v>
      </c>
      <c r="F135" s="13" cm="1">
        <f t="array" ref="F135">(_xll.Turner.GasRateStd(_xll.Turner.GasVelocityWater($C$2, $C135, $C$1), F$5, $C135, $C$1, $C$2)*1000000)/$D135</f>
        <v>95.55606321676899</v>
      </c>
      <c r="G135" s="13" cm="1">
        <f t="array" ref="G135">(_xll.Turner.GasRateStd(_xll.Turner.GasVelocityWater($C$2, $C135, $C$1), G$5, $C135, $C$1, $C$2)*1000000)/$D135</f>
        <v>130.06241937838004</v>
      </c>
      <c r="H135" s="13" cm="1">
        <f t="array" ref="H135">(_xll.Turner.GasRateStd(_xll.Turner.GasVelocityWater($C$2, $C135, $C$1), H$5, $C135, $C$1, $C$2)*1000000)/$D135</f>
        <v>153.31439476112715</v>
      </c>
      <c r="I135" s="13" cm="1">
        <f t="array" ref="I135">(_xll.Turner.GasRateStd(_xll.Turner.GasVelocityWater($C$2, $C135, $C$1), I$5, $C135, $C$1, $C$2)*1000000)/$D135</f>
        <v>239.55374181426112</v>
      </c>
      <c r="J135" s="13" cm="1">
        <f t="array" ref="J135">(_xll.Turner.GasRateStd(_xll.Turner.GasVelocityWater($C$2, $C135, $C$1), J$5, $C135, $C$1, $C$2)*1000000)/$D135</f>
        <v>351.03581556715835</v>
      </c>
      <c r="K135" s="13" cm="1">
        <f t="array" ref="K135">(_xll.Turner.GasRateStd(_xll.Turner.GasVelocityWater($C$2, $C135, $C$1), K$5, $C135, $C$1, $C$2)*1000000)/$D135</f>
        <v>520.24967751352017</v>
      </c>
      <c r="L135" s="13" cm="1">
        <f t="array" ref="L135">(_xll.Turner.GasRateStd(_xll.Turner.GasVelocityWater($C$2, $C135, $C$1), L$5, $C135, $C$1, $C$2)*1000000)/$D135</f>
        <v>860.004568950921</v>
      </c>
      <c r="M135" s="13" cm="1">
        <f t="array" ref="M135">(_xll.Turner.GasRateStd(_xll.Turner.GasVelocityWater($C$2, $C135, $C$1), M$5, $C135, $C$1, $C$2)*1000000)/$D135</f>
        <v>1284.698183247672</v>
      </c>
      <c r="N135" s="13" cm="1">
        <f t="array" ref="N135">(_xll.Turner.GasRateStd(_xll.Turner.GasVelocityWater($C$2, $C135, $C$1), N$5, $C135, $C$1, $C$2)*1000000)/$D135</f>
        <v>2080.9987100540807</v>
      </c>
    </row>
    <row r="136" spans="3:14" hidden="1" x14ac:dyDescent="0.45">
      <c r="C136" s="35">
        <f t="shared" si="16"/>
        <v>264.7</v>
      </c>
      <c r="D136" s="33">
        <f t="shared" si="17"/>
        <v>2000</v>
      </c>
      <c r="E136" s="13" cm="1">
        <f t="array" ref="E136">(_xll.Turner.GasRateStd(_xll.Turner.GasVelocityWater($C$2, $C136, $C$1), E$5, $C136, $C$1, $C$2)*1000000)/$D136</f>
        <v>101.59766860596426</v>
      </c>
      <c r="F136" s="13" cm="1">
        <f t="array" ref="F136">(_xll.Turner.GasRateStd(_xll.Turner.GasVelocityWater($C$2, $C136, $C$1), F$5, $C136, $C$1, $C$2)*1000000)/$D136</f>
        <v>146.30064279258855</v>
      </c>
      <c r="G136" s="13" cm="1">
        <f t="array" ref="G136">(_xll.Turner.GasRateStd(_xll.Turner.GasVelocityWater($C$2, $C136, $C$1), G$5, $C136, $C$1, $C$2)*1000000)/$D136</f>
        <v>199.13143046768994</v>
      </c>
      <c r="H136" s="13" cm="1">
        <f t="array" ref="H136">(_xll.Turner.GasRateStd(_xll.Turner.GasVelocityWater($C$2, $C136, $C$1), H$5, $C136, $C$1, $C$2)*1000000)/$D136</f>
        <v>234.73125354721975</v>
      </c>
      <c r="I136" s="13" cm="1">
        <f t="array" ref="I136">(_xll.Turner.GasRateStd(_xll.Turner.GasVelocityWater($C$2, $C136, $C$1), I$5, $C136, $C$1, $C$2)*1000000)/$D136</f>
        <v>366.76758366753086</v>
      </c>
      <c r="J136" s="13" cm="1">
        <f t="array" ref="J136">(_xll.Turner.GasRateStd(_xll.Turner.GasVelocityWater($C$2, $C136, $C$1), J$5, $C136, $C$1, $C$2)*1000000)/$D136</f>
        <v>537.45166692555074</v>
      </c>
      <c r="K136" s="13" cm="1">
        <f t="array" ref="K136">(_xll.Turner.GasRateStd(_xll.Turner.GasVelocityWater($C$2, $C136, $C$1), K$5, $C136, $C$1, $C$2)*1000000)/$D136</f>
        <v>796.52572187075975</v>
      </c>
      <c r="L136" s="13" cm="1">
        <f t="array" ref="L136">(_xll.Turner.GasRateStd(_xll.Turner.GasVelocityWater($C$2, $C136, $C$1), L$5, $C136, $C$1, $C$2)*1000000)/$D136</f>
        <v>1316.7057851332966</v>
      </c>
      <c r="M136" s="13" cm="1">
        <f t="array" ref="M136">(_xll.Turner.GasRateStd(_xll.Turner.GasVelocityWater($C$2, $C136, $C$1), M$5, $C136, $C$1, $C$2)*1000000)/$D136</f>
        <v>1966.9308642114672</v>
      </c>
      <c r="N136" s="13" cm="1">
        <f t="array" ref="N136">(_xll.Turner.GasRateStd(_xll.Turner.GasVelocityWater($C$2, $C136, $C$1), N$5, $C136, $C$1, $C$2)*1000000)/$D136</f>
        <v>3186.102887483039</v>
      </c>
    </row>
    <row r="137" spans="3:14" hidden="1" x14ac:dyDescent="0.45">
      <c r="C137" s="12">
        <f t="shared" si="16"/>
        <v>514.70000000000005</v>
      </c>
      <c r="D137" s="33">
        <f t="shared" si="17"/>
        <v>2000</v>
      </c>
      <c r="E137" s="13" cm="1">
        <f t="array" ref="E137">(_xll.Turner.GasRateStd(_xll.Turner.GasVelocityWater($C$2, $C137, $C$1), E$5, $C137, $C$1, $C$2)*1000000)/$D137</f>
        <v>143.49071442523848</v>
      </c>
      <c r="F137" s="13" cm="1">
        <f t="array" ref="F137">(_xll.Turner.GasRateStd(_xll.Turner.GasVelocityWater($C$2, $C137, $C$1), F$5, $C137, $C$1, $C$2)*1000000)/$D137</f>
        <v>206.62662877234339</v>
      </c>
      <c r="G137" s="13" cm="1">
        <f t="array" ref="G137">(_xll.Turner.GasRateStd(_xll.Turner.GasVelocityWater($C$2, $C137, $C$1), G$5, $C137, $C$1, $C$2)*1000000)/$D137</f>
        <v>281.24180027346739</v>
      </c>
      <c r="H137" s="13" cm="1">
        <f t="array" ref="H137">(_xll.Turner.GasRateStd(_xll.Turner.GasVelocityWater($C$2, $C137, $C$1), H$5, $C137, $C$1, $C$2)*1000000)/$D137</f>
        <v>331.52094660807091</v>
      </c>
      <c r="I137" s="13" cm="1">
        <f t="array" ref="I137">(_xll.Turner.GasRateStd(_xll.Turner.GasVelocityWater($C$2, $C137, $C$1), I$5, $C137, $C$1, $C$2)*1000000)/$D137</f>
        <v>518.00147907511086</v>
      </c>
      <c r="J137" s="13" cm="1">
        <f t="array" ref="J137">(_xll.Turner.GasRateStd(_xll.Turner.GasVelocityWater($C$2, $C137, $C$1), J$5, $C137, $C$1, $C$2)*1000000)/$D137</f>
        <v>759.0658793095115</v>
      </c>
      <c r="K137" s="13" cm="1">
        <f t="array" ref="K137">(_xll.Turner.GasRateStd(_xll.Turner.GasVelocityWater($C$2, $C137, $C$1), K$5, $C137, $C$1, $C$2)*1000000)/$D137</f>
        <v>1124.9672010938696</v>
      </c>
      <c r="L137" s="13" cm="1">
        <f t="array" ref="L137">(_xll.Turner.GasRateStd(_xll.Turner.GasVelocityWater($C$2, $C137, $C$1), L$5, $C137, $C$1, $C$2)*1000000)/$D137</f>
        <v>1859.6396589510905</v>
      </c>
      <c r="M137" s="13" cm="1">
        <f t="array" ref="M137">(_xll.Turner.GasRateStd(_xll.Turner.GasVelocityWater($C$2, $C137, $C$1), M$5, $C137, $C$1, $C$2)*1000000)/$D137</f>
        <v>2777.9802312726165</v>
      </c>
      <c r="N137" s="13" cm="1">
        <f t="array" ref="N137">(_xll.Turner.GasRateStd(_xll.Turner.GasVelocityWater($C$2, $C137, $C$1), N$5, $C137, $C$1, $C$2)*1000000)/$D137</f>
        <v>4499.8688043754782</v>
      </c>
    </row>
    <row r="138" spans="3:14" hidden="1" x14ac:dyDescent="0.45">
      <c r="C138" s="35">
        <f t="shared" si="16"/>
        <v>1014.7</v>
      </c>
      <c r="D138" s="33">
        <f t="shared" si="17"/>
        <v>2000</v>
      </c>
      <c r="E138" s="13" cm="1">
        <f t="array" ref="E138">(_xll.Turner.GasRateStd(_xll.Turner.GasVelocityWater($C$2, $C138, $C$1), E$5, $C138, $C$1, $C$2)*1000000)/$D138</f>
        <v>206.1785754700046</v>
      </c>
      <c r="F138" s="13" cm="1">
        <f t="array" ref="F138">(_xll.Turner.GasRateStd(_xll.Turner.GasVelocityWater($C$2, $C138, $C$1), F$5, $C138, $C$1, $C$2)*1000000)/$D138</f>
        <v>296.89714867680658</v>
      </c>
      <c r="G138" s="13" cm="1">
        <f t="array" ref="G138">(_xll.Turner.GasRateStd(_xll.Turner.GasVelocityWater($C$2, $C138, $C$1), G$5, $C138, $C$1, $C$2)*1000000)/$D138</f>
        <v>404.11000792120905</v>
      </c>
      <c r="H138" s="13" cm="1">
        <f t="array" ref="H138">(_xll.Turner.GasRateStd(_xll.Turner.GasVelocityWater($C$2, $C138, $C$1), H$5, $C138, $C$1, $C$2)*1000000)/$D138</f>
        <v>476.35498076589857</v>
      </c>
      <c r="I138" s="13" cm="1">
        <f t="array" ref="I138">(_xll.Turner.GasRateStd(_xll.Turner.GasVelocityWater($C$2, $C138, $C$1), I$5, $C138, $C$1, $C$2)*1000000)/$D138</f>
        <v>744.30465744671653</v>
      </c>
      <c r="J138" s="13" cm="1">
        <f t="array" ref="J138">(_xll.Turner.GasRateStd(_xll.Turner.GasVelocityWater($C$2, $C138, $C$1), J$5, $C138, $C$1, $C$2)*1000000)/$D138</f>
        <v>1090.6846642363241</v>
      </c>
      <c r="K138" s="13" cm="1">
        <f t="array" ref="K138">(_xll.Turner.GasRateStd(_xll.Turner.GasVelocityWater($C$2, $C138, $C$1), K$5, $C138, $C$1, $C$2)*1000000)/$D138</f>
        <v>1616.4400316848362</v>
      </c>
      <c r="L138" s="13" cm="1">
        <f t="array" ref="L138">(_xll.Turner.GasRateStd(_xll.Turner.GasVelocityWater($C$2, $C138, $C$1), L$5, $C138, $C$1, $C$2)*1000000)/$D138</f>
        <v>2672.07433809126</v>
      </c>
      <c r="M138" s="13" cm="1">
        <f t="array" ref="M138">(_xll.Turner.GasRateStd(_xll.Turner.GasVelocityWater($C$2, $C138, $C$1), M$5, $C138, $C$1, $C$2)*1000000)/$D138</f>
        <v>3991.6172210992877</v>
      </c>
      <c r="N138" s="13" cm="1">
        <f t="array" ref="N138">(_xll.Turner.GasRateStd(_xll.Turner.GasVelocityWater($C$2, $C138, $C$1), N$5, $C138, $C$1, $C$2)*1000000)/$D138</f>
        <v>6465.7601267393447</v>
      </c>
    </row>
    <row r="139" spans="3:14" hidden="1" x14ac:dyDescent="0.45">
      <c r="C139" s="12">
        <f t="shared" si="16"/>
        <v>2014.7</v>
      </c>
      <c r="D139" s="33">
        <f t="shared" si="17"/>
        <v>2000</v>
      </c>
      <c r="E139" s="13" cm="1">
        <f t="array" ref="E139">(_xll.Turner.GasRateStd(_xll.Turner.GasVelocityWater($C$2, $C139, $C$1), E$5, $C139, $C$1, $C$2)*1000000)/$D139</f>
        <v>296.89711883837811</v>
      </c>
      <c r="F139" s="13" cm="1">
        <f t="array" ref="F139">(_xll.Turner.GasRateStd(_xll.Turner.GasVelocityWater($C$2, $C139, $C$1), F$5, $C139, $C$1, $C$2)*1000000)/$D139</f>
        <v>427.53185112726442</v>
      </c>
      <c r="G139" s="13" cm="1">
        <f t="array" ref="G139">(_xll.Turner.GasRateStd(_xll.Turner.GasVelocityWater($C$2, $C139, $C$1), G$5, $C139, $C$1, $C$2)*1000000)/$D139</f>
        <v>581.91835292322116</v>
      </c>
      <c r="H139" s="13" cm="1">
        <f t="array" ref="H139">(_xll.Turner.GasRateStd(_xll.Turner.GasVelocityWater($C$2, $C139, $C$1), H$5, $C139, $C$1, $C$2)*1000000)/$D139</f>
        <v>685.95110336418861</v>
      </c>
      <c r="I139" s="13" cm="1">
        <f t="array" ref="I139">(_xll.Turner.GasRateStd(_xll.Turner.GasVelocityWater($C$2, $C139, $C$1), I$5, $C139, $C$1, $C$2)*1000000)/$D139</f>
        <v>1071.7985990065445</v>
      </c>
      <c r="J139" s="13" cm="1">
        <f t="array" ref="J139">(_xll.Turner.GasRateStd(_xll.Turner.GasVelocityWater($C$2, $C139, $C$1), J$5, $C139, $C$1, $C$2)*1000000)/$D139</f>
        <v>1570.5857586550201</v>
      </c>
      <c r="K139" s="13" cm="1">
        <f t="array" ref="K139">(_xll.Turner.GasRateStd(_xll.Turner.GasVelocityWater($C$2, $C139, $C$1), K$5, $C139, $C$1, $C$2)*1000000)/$D139</f>
        <v>2327.6734116928847</v>
      </c>
      <c r="L139" s="13" cm="1">
        <f t="array" ref="L139">(_xll.Turner.GasRateStd(_xll.Turner.GasVelocityWater($C$2, $C139, $C$1), L$5, $C139, $C$1, $C$2)*1000000)/$D139</f>
        <v>3847.7866601453802</v>
      </c>
      <c r="M139" s="13" cm="1">
        <f t="array" ref="M139">(_xll.Turner.GasRateStd(_xll.Turner.GasVelocityWater($C$2, $C139, $C$1), M$5, $C139, $C$1, $C$2)*1000000)/$D139</f>
        <v>5747.9282207109973</v>
      </c>
      <c r="N139" s="13" cm="1">
        <f t="array" ref="N139">(_xll.Turner.GasRateStd(_xll.Turner.GasVelocityWater($C$2, $C139, $C$1), N$5, $C139, $C$1, $C$2)*1000000)/$D139</f>
        <v>9310.6936467715386</v>
      </c>
    </row>
    <row r="140" spans="3:14" hidden="1" x14ac:dyDescent="0.45">
      <c r="C140" s="35">
        <f t="shared" si="16"/>
        <v>3014.7</v>
      </c>
      <c r="D140" s="33">
        <f t="shared" si="17"/>
        <v>2000</v>
      </c>
      <c r="E140" s="13" cm="1">
        <f t="array" ref="E140">(_xll.Turner.GasRateStd(_xll.Turner.GasVelocityWater($C$2, $C140, $C$1), E$5, $C140, $C$1, $C$2)*1000000)/$D140</f>
        <v>355.03828516865877</v>
      </c>
      <c r="F140" s="13" cm="1">
        <f t="array" ref="F140">(_xll.Turner.GasRateStd(_xll.Turner.GasVelocityWater($C$2, $C140, $C$1), F$5, $C140, $C$1, $C$2)*1000000)/$D140</f>
        <v>511.25513064286849</v>
      </c>
      <c r="G140" s="13" cm="1">
        <f t="array" ref="G140">(_xll.Turner.GasRateStd(_xll.Turner.GasVelocityWater($C$2, $C140, $C$1), G$5, $C140, $C$1, $C$2)*1000000)/$D140</f>
        <v>695.87503893057112</v>
      </c>
      <c r="H140" s="13" cm="1">
        <f t="array" ref="H140">(_xll.Turner.GasRateStd(_xll.Turner.GasVelocityWater($C$2, $C140, $C$1), H$5, $C140, $C$1, $C$2)*1000000)/$D140</f>
        <v>820.28045405366902</v>
      </c>
      <c r="I140" s="13" cm="1">
        <f t="array" ref="I140">(_xll.Turner.GasRateStd(_xll.Turner.GasVelocityWater($C$2, $C140, $C$1), I$5, $C140, $C$1, $C$2)*1000000)/$D140</f>
        <v>1281.6882094588577</v>
      </c>
      <c r="J140" s="13" cm="1">
        <f t="array" ref="J140">(_xll.Turner.GasRateStd(_xll.Turner.GasVelocityWater($C$2, $C140, $C$1), J$5, $C140, $C$1, $C$2)*1000000)/$D140</f>
        <v>1878.1525285422044</v>
      </c>
      <c r="K140" s="13" cm="1">
        <f t="array" ref="K140">(_xll.Turner.GasRateStd(_xll.Turner.GasVelocityWater($C$2, $C140, $C$1), K$5, $C140, $C$1, $C$2)*1000000)/$D140</f>
        <v>2783.5001557222845</v>
      </c>
      <c r="L140" s="13" cm="1">
        <f t="array" ref="L140">(_xll.Turner.GasRateStd(_xll.Turner.GasVelocityWater($C$2, $C140, $C$1), L$5, $C140, $C$1, $C$2)*1000000)/$D140</f>
        <v>4601.2961757858175</v>
      </c>
      <c r="M140" s="13" cm="1">
        <f t="array" ref="M140">(_xll.Turner.GasRateStd(_xll.Turner.GasVelocityWater($C$2, $C140, $C$1), M$5, $C140, $C$1, $C$2)*1000000)/$D140</f>
        <v>6873.541200865232</v>
      </c>
      <c r="N140" s="13" cm="1">
        <f t="array" ref="N140">(_xll.Turner.GasRateStd(_xll.Turner.GasVelocityWater($C$2, $C140, $C$1), N$5, $C140, $C$1, $C$2)*1000000)/$D140</f>
        <v>11134.000622889138</v>
      </c>
    </row>
    <row r="141" spans="3:14" hidden="1" x14ac:dyDescent="0.45">
      <c r="C141" s="12">
        <f t="shared" si="16"/>
        <v>4014.7</v>
      </c>
      <c r="D141" s="33">
        <f t="shared" si="17"/>
        <v>2000</v>
      </c>
      <c r="E141" s="13" cm="1">
        <f t="array" ref="E141">(_xll.Turner.GasRateStd(_xll.Turner.GasVelocityWater($C$2, $C141, $C$1), E$5, $C141, $C$1, $C$2)*1000000)/$D141</f>
        <v>390.64060298087225</v>
      </c>
      <c r="F141" s="13" cm="1">
        <f t="array" ref="F141">(_xll.Turner.GasRateStd(_xll.Turner.GasVelocityWater($C$2, $C141, $C$1), F$5, $C141, $C$1, $C$2)*1000000)/$D141</f>
        <v>562.5224682924561</v>
      </c>
      <c r="G141" s="13" cm="1">
        <f t="array" ref="G141">(_xll.Turner.GasRateStd(_xll.Turner.GasVelocityWater($C$2, $C141, $C$1), G$5, $C141, $C$1, $C$2)*1000000)/$D141</f>
        <v>765.65558184250972</v>
      </c>
      <c r="H141" s="13" cm="1">
        <f t="array" ref="H141">(_xll.Turner.GasRateStd(_xll.Turner.GasVelocityWater($C$2, $C141, $C$1), H$5, $C141, $C$1, $C$2)*1000000)/$D141</f>
        <v>902.53604912700735</v>
      </c>
      <c r="I141" s="13" cm="1">
        <f t="array" ref="I141">(_xll.Turner.GasRateStd(_xll.Turner.GasVelocityWater($C$2, $C141, $C$1), I$5, $C141, $C$1, $C$2)*1000000)/$D141</f>
        <v>1410.2125767609489</v>
      </c>
      <c r="J141" s="13" cm="1">
        <f t="array" ref="J141">(_xll.Turner.GasRateStd(_xll.Turner.GasVelocityWater($C$2, $C141, $C$1), J$5, $C141, $C$1, $C$2)*1000000)/$D141</f>
        <v>2066.4887897688145</v>
      </c>
      <c r="K141" s="13" cm="1">
        <f t="array" ref="K141">(_xll.Turner.GasRateStd(_xll.Turner.GasVelocityWater($C$2, $C141, $C$1), K$5, $C141, $C$1, $C$2)*1000000)/$D141</f>
        <v>3062.6223273700389</v>
      </c>
      <c r="L141" s="13" cm="1">
        <f t="array" ref="L141">(_xll.Turner.GasRateStd(_xll.Turner.GasVelocityWater($C$2, $C141, $C$1), L$5, $C141, $C$1, $C$2)*1000000)/$D141</f>
        <v>5062.7022146321042</v>
      </c>
      <c r="M141" s="13" cm="1">
        <f t="array" ref="M141">(_xll.Turner.GasRateStd(_xll.Turner.GasVelocityWater($C$2, $C141, $C$1), M$5, $C141, $C$1, $C$2)*1000000)/$D141</f>
        <v>7562.8020737096876</v>
      </c>
      <c r="N141" s="13" cm="1">
        <f t="array" ref="N141">(_xll.Turner.GasRateStd(_xll.Turner.GasVelocityWater($C$2, $C141, $C$1), N$5, $C141, $C$1, $C$2)*1000000)/$D141</f>
        <v>12250.489309480155</v>
      </c>
    </row>
    <row r="142" spans="3:14" hidden="1" x14ac:dyDescent="0.45">
      <c r="C142" s="35">
        <f t="shared" si="16"/>
        <v>5014.7</v>
      </c>
      <c r="D142" s="33">
        <f t="shared" si="17"/>
        <v>2000</v>
      </c>
      <c r="E142" s="13" cm="1">
        <f t="array" ref="E142">(_xll.Turner.GasRateStd(_xll.Turner.GasVelocityWater($C$2, $C142, $C$1), E$5, $C142, $C$1, $C$2)*1000000)/$D142</f>
        <v>413.51639733429278</v>
      </c>
      <c r="F142" s="13" cm="1">
        <f t="array" ref="F142">(_xll.Turner.GasRateStd(_xll.Turner.GasVelocityWater($C$2, $C142, $C$1), F$5, $C142, $C$1, $C$2)*1000000)/$D142</f>
        <v>595.46361216138155</v>
      </c>
      <c r="G142" s="13" cm="1">
        <f t="array" ref="G142">(_xll.Turner.GasRateStd(_xll.Turner.GasVelocityWater($C$2, $C142, $C$1), G$5, $C142, $C$1, $C$2)*1000000)/$D142</f>
        <v>810.49213877521379</v>
      </c>
      <c r="H142" s="13" cm="1">
        <f t="array" ref="H142">(_xll.Turner.GasRateStd(_xll.Turner.GasVelocityWater($C$2, $C142, $C$1), H$5, $C142, $C$1, $C$2)*1000000)/$D142</f>
        <v>955.3882844011498</v>
      </c>
      <c r="I142" s="13" cm="1">
        <f t="array" ref="I142">(_xll.Turner.GasRateStd(_xll.Turner.GasVelocityWater($C$2, $C142, $C$1), I$5, $C142, $C$1, $C$2)*1000000)/$D142</f>
        <v>1492.7941943767964</v>
      </c>
      <c r="J142" s="13" cm="1">
        <f t="array" ref="J142">(_xll.Turner.GasRateStd(_xll.Turner.GasVelocityWater($C$2, $C142, $C$1), J$5, $C142, $C$1, $C$2)*1000000)/$D142</f>
        <v>2187.501741898408</v>
      </c>
      <c r="K142" s="13" cm="1">
        <f t="array" ref="K142">(_xll.Turner.GasRateStd(_xll.Turner.GasVelocityWater($C$2, $C142, $C$1), K$5, $C142, $C$1, $C$2)*1000000)/$D142</f>
        <v>3241.9685551008552</v>
      </c>
      <c r="L142" s="13" cm="1">
        <f t="array" ref="L142">(_xll.Turner.GasRateStd(_xll.Turner.GasVelocityWater($C$2, $C142, $C$1), L$5, $C142, $C$1, $C$2)*1000000)/$D142</f>
        <v>5359.1725094524345</v>
      </c>
      <c r="M142" s="13" cm="1">
        <f t="array" ref="M142">(_xll.Turner.GasRateStd(_xll.Turner.GasVelocityWater($C$2, $C142, $C$1), M$5, $C142, $C$1, $C$2)*1000000)/$D142</f>
        <v>8005.6774523919057</v>
      </c>
      <c r="N142" s="13" cm="1">
        <f t="array" ref="N142">(_xll.Turner.GasRateStd(_xll.Turner.GasVelocityWater($C$2, $C142, $C$1), N$5, $C142, $C$1, $C$2)*1000000)/$D142</f>
        <v>12967.874220403421</v>
      </c>
    </row>
    <row r="143" spans="3:14" x14ac:dyDescent="0.45">
      <c r="C143" s="12">
        <f t="shared" si="16"/>
        <v>64.7</v>
      </c>
      <c r="D143" s="33">
        <f t="shared" si="17"/>
        <v>3000</v>
      </c>
      <c r="E143" s="13" cm="1">
        <f t="array" ref="E143">(_xll.Turner.GasRateStd(_xll.Turner.GasVelocityWater($C$2, $C143, $C$1), E$5, $C143, $C$1, $C$2)*1000000)/$D143</f>
        <v>33.138943283104467</v>
      </c>
      <c r="F143" s="13" cm="1">
        <f t="array" ref="F143">(_xll.Turner.GasRateStd(_xll.Turner.GasVelocityWater($C$2, $C143, $C$1), F$5, $C143, $C$1, $C$2)*1000000)/$D143</f>
        <v>47.720078327670429</v>
      </c>
      <c r="G143" s="13" cm="1">
        <f t="array" ref="G143">(_xll.Turner.GasRateStd(_xll.Turner.GasVelocityWater($C$2, $C143, $C$1), G$5, $C143, $C$1, $C$2)*1000000)/$D143</f>
        <v>64.952328834884767</v>
      </c>
      <c r="H143" s="13" cm="1">
        <f t="array" ref="H143">(_xll.Turner.GasRateStd(_xll.Turner.GasVelocityWater($C$2, $C143, $C$1), H$5, $C143, $C$1, $C$2)*1000000)/$D143</f>
        <v>76.564214561284558</v>
      </c>
      <c r="I143" s="13" cm="1">
        <f t="array" ref="I143">(_xll.Turner.GasRateStd(_xll.Turner.GasVelocityWater($C$2, $C143, $C$1), I$5, $C143, $C$1, $C$2)*1000000)/$D143</f>
        <v>119.63158525200714</v>
      </c>
      <c r="J143" s="13" cm="1">
        <f t="array" ref="J143">(_xll.Turner.GasRateStd(_xll.Turner.GasVelocityWater($C$2, $C143, $C$1), J$5, $C143, $C$1, $C$2)*1000000)/$D143</f>
        <v>175.30500996762262</v>
      </c>
      <c r="K143" s="13" cm="1">
        <f t="array" ref="K143">(_xll.Turner.GasRateStd(_xll.Turner.GasVelocityWater($C$2, $C143, $C$1), K$5, $C143, $C$1, $C$2)*1000000)/$D143</f>
        <v>259.80931533953907</v>
      </c>
      <c r="L143" s="13" cm="1">
        <f t="array" ref="L143">(_xll.Turner.GasRateStd(_xll.Turner.GasVelocityWater($C$2, $C143, $C$1), L$5, $C143, $C$1, $C$2)*1000000)/$D143</f>
        <v>429.48070494903396</v>
      </c>
      <c r="M143" s="13" cm="1">
        <f t="array" ref="M143">(_xll.Turner.GasRateStd(_xll.Turner.GasVelocityWater($C$2, $C143, $C$1), M$5, $C143, $C$1, $C$2)*1000000)/$D143</f>
        <v>641.56994196090238</v>
      </c>
      <c r="N143" s="13" cm="1">
        <f t="array" ref="N143">(_xll.Turner.GasRateStd(_xll.Turner.GasVelocityWater($C$2, $C143, $C$1), N$5, $C143, $C$1, $C$2)*1000000)/$D143</f>
        <v>1039.2372613581563</v>
      </c>
    </row>
    <row r="144" spans="3:14" hidden="1" x14ac:dyDescent="0.45">
      <c r="C144" s="35">
        <f t="shared" si="16"/>
        <v>114.7</v>
      </c>
      <c r="D144" s="33">
        <f t="shared" si="17"/>
        <v>3000</v>
      </c>
      <c r="E144" s="13" cm="1">
        <f t="array" ref="E144">(_xll.Turner.GasRateStd(_xll.Turner.GasVelocityWater($C$2, $C144, $C$1), E$5, $C144, $C$1, $C$2)*1000000)/$D144</f>
        <v>44.23891815591157</v>
      </c>
      <c r="F144" s="13" cm="1">
        <f t="array" ref="F144">(_xll.Turner.GasRateStd(_xll.Turner.GasVelocityWater($C$2, $C144, $C$1), F$5, $C144, $C$1, $C$2)*1000000)/$D144</f>
        <v>63.704042144512663</v>
      </c>
      <c r="G144" s="13" cm="1">
        <f t="array" ref="G144">(_xll.Turner.GasRateStd(_xll.Turner.GasVelocityWater($C$2, $C144, $C$1), G$5, $C144, $C$1, $C$2)*1000000)/$D144</f>
        <v>86.708279585586681</v>
      </c>
      <c r="H144" s="13" cm="1">
        <f t="array" ref="H144">(_xll.Turner.GasRateStd(_xll.Turner.GasVelocityWater($C$2, $C144, $C$1), H$5, $C144, $C$1, $C$2)*1000000)/$D144</f>
        <v>102.20959650741811</v>
      </c>
      <c r="I144" s="13" cm="1">
        <f t="array" ref="I144">(_xll.Turner.GasRateStd(_xll.Turner.GasVelocityWater($C$2, $C144, $C$1), I$5, $C144, $C$1, $C$2)*1000000)/$D144</f>
        <v>159.70249454284075</v>
      </c>
      <c r="J144" s="13" cm="1">
        <f t="array" ref="J144">(_xll.Turner.GasRateStd(_xll.Turner.GasVelocityWater($C$2, $C144, $C$1), J$5, $C144, $C$1, $C$2)*1000000)/$D144</f>
        <v>234.02387704477223</v>
      </c>
      <c r="K144" s="13" cm="1">
        <f t="array" ref="K144">(_xll.Turner.GasRateStd(_xll.Turner.GasVelocityWater($C$2, $C144, $C$1), K$5, $C144, $C$1, $C$2)*1000000)/$D144</f>
        <v>346.83311834234672</v>
      </c>
      <c r="L144" s="13" cm="1">
        <f t="array" ref="L144">(_xll.Turner.GasRateStd(_xll.Turner.GasVelocityWater($C$2, $C144, $C$1), L$5, $C144, $C$1, $C$2)*1000000)/$D144</f>
        <v>573.336379300614</v>
      </c>
      <c r="M144" s="13" cm="1">
        <f t="array" ref="M144">(_xll.Turner.GasRateStd(_xll.Turner.GasVelocityWater($C$2, $C144, $C$1), M$5, $C144, $C$1, $C$2)*1000000)/$D144</f>
        <v>856.46545549844791</v>
      </c>
      <c r="N144" s="13" cm="1">
        <f t="array" ref="N144">(_xll.Turner.GasRateStd(_xll.Turner.GasVelocityWater($C$2, $C144, $C$1), N$5, $C144, $C$1, $C$2)*1000000)/$D144</f>
        <v>1387.3324733693869</v>
      </c>
    </row>
    <row r="145" spans="3:14" hidden="1" x14ac:dyDescent="0.45">
      <c r="C145" s="12">
        <f t="shared" si="16"/>
        <v>264.7</v>
      </c>
      <c r="D145" s="33">
        <f t="shared" si="17"/>
        <v>3000</v>
      </c>
      <c r="E145" s="13" cm="1">
        <f t="array" ref="E145">(_xll.Turner.GasRateStd(_xll.Turner.GasVelocityWater($C$2, $C145, $C$1), E$5, $C145, $C$1, $C$2)*1000000)/$D145</f>
        <v>67.73177907064283</v>
      </c>
      <c r="F145" s="13" cm="1">
        <f t="array" ref="F145">(_xll.Turner.GasRateStd(_xll.Turner.GasVelocityWater($C$2, $C145, $C$1), F$5, $C145, $C$1, $C$2)*1000000)/$D145</f>
        <v>97.533761861725694</v>
      </c>
      <c r="G145" s="13" cm="1">
        <f t="array" ref="G145">(_xll.Turner.GasRateStd(_xll.Turner.GasVelocityWater($C$2, $C145, $C$1), G$5, $C145, $C$1, $C$2)*1000000)/$D145</f>
        <v>132.75428697845996</v>
      </c>
      <c r="H145" s="13" cm="1">
        <f t="array" ref="H145">(_xll.Turner.GasRateStd(_xll.Turner.GasVelocityWater($C$2, $C145, $C$1), H$5, $C145, $C$1, $C$2)*1000000)/$D145</f>
        <v>156.48750236481317</v>
      </c>
      <c r="I145" s="13" cm="1">
        <f t="array" ref="I145">(_xll.Turner.GasRateStd(_xll.Turner.GasVelocityWater($C$2, $C145, $C$1), I$5, $C145, $C$1, $C$2)*1000000)/$D145</f>
        <v>244.51172244502058</v>
      </c>
      <c r="J145" s="13" cm="1">
        <f t="array" ref="J145">(_xll.Turner.GasRateStd(_xll.Turner.GasVelocityWater($C$2, $C145, $C$1), J$5, $C145, $C$1, $C$2)*1000000)/$D145</f>
        <v>358.30111128370055</v>
      </c>
      <c r="K145" s="13" cm="1">
        <f t="array" ref="K145">(_xll.Turner.GasRateStd(_xll.Turner.GasVelocityWater($C$2, $C145, $C$1), K$5, $C145, $C$1, $C$2)*1000000)/$D145</f>
        <v>531.01714791383984</v>
      </c>
      <c r="L145" s="13" cm="1">
        <f t="array" ref="L145">(_xll.Turner.GasRateStd(_xll.Turner.GasVelocityWater($C$2, $C145, $C$1), L$5, $C145, $C$1, $C$2)*1000000)/$D145</f>
        <v>877.80385675553111</v>
      </c>
      <c r="M145" s="13" cm="1">
        <f t="array" ref="M145">(_xll.Turner.GasRateStd(_xll.Turner.GasVelocityWater($C$2, $C145, $C$1), M$5, $C145, $C$1, $C$2)*1000000)/$D145</f>
        <v>1311.2872428076448</v>
      </c>
      <c r="N145" s="13" cm="1">
        <f t="array" ref="N145">(_xll.Turner.GasRateStd(_xll.Turner.GasVelocityWater($C$2, $C145, $C$1), N$5, $C145, $C$1, $C$2)*1000000)/$D145</f>
        <v>2124.0685916553593</v>
      </c>
    </row>
    <row r="146" spans="3:14" hidden="1" x14ac:dyDescent="0.45">
      <c r="C146" s="35">
        <f t="shared" si="16"/>
        <v>514.70000000000005</v>
      </c>
      <c r="D146" s="33">
        <f t="shared" si="17"/>
        <v>3000</v>
      </c>
      <c r="E146" s="13" cm="1">
        <f t="array" ref="E146">(_xll.Turner.GasRateStd(_xll.Turner.GasVelocityWater($C$2, $C146, $C$1), E$5, $C146, $C$1, $C$2)*1000000)/$D146</f>
        <v>95.660476283492329</v>
      </c>
      <c r="F146" s="13" cm="1">
        <f t="array" ref="F146">(_xll.Turner.GasRateStd(_xll.Turner.GasVelocityWater($C$2, $C146, $C$1), F$5, $C146, $C$1, $C$2)*1000000)/$D146</f>
        <v>137.75108584822894</v>
      </c>
      <c r="G146" s="13" cm="1">
        <f t="array" ref="G146">(_xll.Turner.GasRateStd(_xll.Turner.GasVelocityWater($C$2, $C146, $C$1), G$5, $C146, $C$1, $C$2)*1000000)/$D146</f>
        <v>187.49453351564492</v>
      </c>
      <c r="H146" s="13" cm="1">
        <f t="array" ref="H146">(_xll.Turner.GasRateStd(_xll.Turner.GasVelocityWater($C$2, $C146, $C$1), H$5, $C146, $C$1, $C$2)*1000000)/$D146</f>
        <v>221.01396440538062</v>
      </c>
      <c r="I146" s="13" cm="1">
        <f t="array" ref="I146">(_xll.Turner.GasRateStd(_xll.Turner.GasVelocityWater($C$2, $C146, $C$1), I$5, $C146, $C$1, $C$2)*1000000)/$D146</f>
        <v>345.33431938340726</v>
      </c>
      <c r="J146" s="13" cm="1">
        <f t="array" ref="J146">(_xll.Turner.GasRateStd(_xll.Turner.GasVelocityWater($C$2, $C146, $C$1), J$5, $C146, $C$1, $C$2)*1000000)/$D146</f>
        <v>506.04391953967433</v>
      </c>
      <c r="K146" s="13" cm="1">
        <f t="array" ref="K146">(_xll.Turner.GasRateStd(_xll.Turner.GasVelocityWater($C$2, $C146, $C$1), K$5, $C146, $C$1, $C$2)*1000000)/$D146</f>
        <v>749.97813406257967</v>
      </c>
      <c r="L146" s="13" cm="1">
        <f t="array" ref="L146">(_xll.Turner.GasRateStd(_xll.Turner.GasVelocityWater($C$2, $C146, $C$1), L$5, $C146, $C$1, $C$2)*1000000)/$D146</f>
        <v>1239.7597726340603</v>
      </c>
      <c r="M146" s="13" cm="1">
        <f t="array" ref="M146">(_xll.Turner.GasRateStd(_xll.Turner.GasVelocityWater($C$2, $C146, $C$1), M$5, $C146, $C$1, $C$2)*1000000)/$D146</f>
        <v>1851.9868208484108</v>
      </c>
      <c r="N146" s="13" cm="1">
        <f t="array" ref="N146">(_xll.Turner.GasRateStd(_xll.Turner.GasVelocityWater($C$2, $C146, $C$1), N$5, $C146, $C$1, $C$2)*1000000)/$D146</f>
        <v>2999.9125362503187</v>
      </c>
    </row>
    <row r="147" spans="3:14" hidden="1" x14ac:dyDescent="0.45">
      <c r="C147" s="12">
        <f t="shared" si="16"/>
        <v>1014.7</v>
      </c>
      <c r="D147" s="33">
        <f t="shared" si="17"/>
        <v>3000</v>
      </c>
      <c r="E147" s="13" cm="1">
        <f t="array" ref="E147">(_xll.Turner.GasRateStd(_xll.Turner.GasVelocityWater($C$2, $C147, $C$1), E$5, $C147, $C$1, $C$2)*1000000)/$D147</f>
        <v>137.45238364666974</v>
      </c>
      <c r="F147" s="13" cm="1">
        <f t="array" ref="F147">(_xll.Turner.GasRateStd(_xll.Turner.GasVelocityWater($C$2, $C147, $C$1), F$5, $C147, $C$1, $C$2)*1000000)/$D147</f>
        <v>197.93143245120439</v>
      </c>
      <c r="G147" s="13" cm="1">
        <f t="array" ref="G147">(_xll.Turner.GasRateStd(_xll.Turner.GasVelocityWater($C$2, $C147, $C$1), G$5, $C147, $C$1, $C$2)*1000000)/$D147</f>
        <v>269.40667194747272</v>
      </c>
      <c r="H147" s="13" cm="1">
        <f t="array" ref="H147">(_xll.Turner.GasRateStd(_xll.Turner.GasVelocityWater($C$2, $C147, $C$1), H$5, $C147, $C$1, $C$2)*1000000)/$D147</f>
        <v>317.56998717726572</v>
      </c>
      <c r="I147" s="13" cm="1">
        <f t="array" ref="I147">(_xll.Turner.GasRateStd(_xll.Turner.GasVelocityWater($C$2, $C147, $C$1), I$5, $C147, $C$1, $C$2)*1000000)/$D147</f>
        <v>496.20310496447769</v>
      </c>
      <c r="J147" s="13" cm="1">
        <f t="array" ref="J147">(_xll.Turner.GasRateStd(_xll.Turner.GasVelocityWater($C$2, $C147, $C$1), J$5, $C147, $C$1, $C$2)*1000000)/$D147</f>
        <v>727.12310949088271</v>
      </c>
      <c r="K147" s="13" cm="1">
        <f t="array" ref="K147">(_xll.Turner.GasRateStd(_xll.Turner.GasVelocityWater($C$2, $C147, $C$1), K$5, $C147, $C$1, $C$2)*1000000)/$D147</f>
        <v>1077.6266877898909</v>
      </c>
      <c r="L147" s="13" cm="1">
        <f t="array" ref="L147">(_xll.Turner.GasRateStd(_xll.Turner.GasVelocityWater($C$2, $C147, $C$1), L$5, $C147, $C$1, $C$2)*1000000)/$D147</f>
        <v>1781.3828920608398</v>
      </c>
      <c r="M147" s="13" cm="1">
        <f t="array" ref="M147">(_xll.Turner.GasRateStd(_xll.Turner.GasVelocityWater($C$2, $C147, $C$1), M$5, $C147, $C$1, $C$2)*1000000)/$D147</f>
        <v>2661.0781473995253</v>
      </c>
      <c r="N147" s="13" cm="1">
        <f t="array" ref="N147">(_xll.Turner.GasRateStd(_xll.Turner.GasVelocityWater($C$2, $C147, $C$1), N$5, $C147, $C$1, $C$2)*1000000)/$D147</f>
        <v>4310.5067511595635</v>
      </c>
    </row>
    <row r="148" spans="3:14" hidden="1" x14ac:dyDescent="0.45">
      <c r="C148" s="35">
        <f t="shared" si="16"/>
        <v>2014.7</v>
      </c>
      <c r="D148" s="33">
        <f t="shared" si="17"/>
        <v>3000</v>
      </c>
      <c r="E148" s="13" cm="1">
        <f t="array" ref="E148">(_xll.Turner.GasRateStd(_xll.Turner.GasVelocityWater($C$2, $C148, $C$1), E$5, $C148, $C$1, $C$2)*1000000)/$D148</f>
        <v>197.93141255891874</v>
      </c>
      <c r="F148" s="13" cm="1">
        <f t="array" ref="F148">(_xll.Turner.GasRateStd(_xll.Turner.GasVelocityWater($C$2, $C148, $C$1), F$5, $C148, $C$1, $C$2)*1000000)/$D148</f>
        <v>285.02123408484294</v>
      </c>
      <c r="G148" s="13" cm="1">
        <f t="array" ref="G148">(_xll.Turner.GasRateStd(_xll.Turner.GasVelocityWater($C$2, $C148, $C$1), G$5, $C148, $C$1, $C$2)*1000000)/$D148</f>
        <v>387.94556861548079</v>
      </c>
      <c r="H148" s="13" cm="1">
        <f t="array" ref="H148">(_xll.Turner.GasRateStd(_xll.Turner.GasVelocityWater($C$2, $C148, $C$1), H$5, $C148, $C$1, $C$2)*1000000)/$D148</f>
        <v>457.3007355761257</v>
      </c>
      <c r="I148" s="13" cm="1">
        <f t="array" ref="I148">(_xll.Turner.GasRateStd(_xll.Turner.GasVelocityWater($C$2, $C148, $C$1), I$5, $C148, $C$1, $C$2)*1000000)/$D148</f>
        <v>714.53239933769635</v>
      </c>
      <c r="J148" s="13" cm="1">
        <f t="array" ref="J148">(_xll.Turner.GasRateStd(_xll.Turner.GasVelocityWater($C$2, $C148, $C$1), J$5, $C148, $C$1, $C$2)*1000000)/$D148</f>
        <v>1047.05717243668</v>
      </c>
      <c r="K148" s="13" cm="1">
        <f t="array" ref="K148">(_xll.Turner.GasRateStd(_xll.Turner.GasVelocityWater($C$2, $C148, $C$1), K$5, $C148, $C$1, $C$2)*1000000)/$D148</f>
        <v>1551.7822744619232</v>
      </c>
      <c r="L148" s="13" cm="1">
        <f t="array" ref="L148">(_xll.Turner.GasRateStd(_xll.Turner.GasVelocityWater($C$2, $C148, $C$1), L$5, $C148, $C$1, $C$2)*1000000)/$D148</f>
        <v>2565.1911067635865</v>
      </c>
      <c r="M148" s="13" cm="1">
        <f t="array" ref="M148">(_xll.Turner.GasRateStd(_xll.Turner.GasVelocityWater($C$2, $C148, $C$1), M$5, $C148, $C$1, $C$2)*1000000)/$D148</f>
        <v>3831.9521471406651</v>
      </c>
      <c r="N148" s="13" cm="1">
        <f t="array" ref="N148">(_xll.Turner.GasRateStd(_xll.Turner.GasVelocityWater($C$2, $C148, $C$1), N$5, $C148, $C$1, $C$2)*1000000)/$D148</f>
        <v>6207.1290978476927</v>
      </c>
    </row>
    <row r="149" spans="3:14" hidden="1" x14ac:dyDescent="0.45">
      <c r="C149" s="12">
        <f t="shared" si="16"/>
        <v>3014.7</v>
      </c>
      <c r="D149" s="33">
        <f t="shared" si="17"/>
        <v>3000</v>
      </c>
      <c r="E149" s="13" cm="1">
        <f t="array" ref="E149">(_xll.Turner.GasRateStd(_xll.Turner.GasVelocityWater($C$2, $C149, $C$1), E$5, $C149, $C$1, $C$2)*1000000)/$D149</f>
        <v>236.69219011243919</v>
      </c>
      <c r="F149" s="13" cm="1">
        <f t="array" ref="F149">(_xll.Turner.GasRateStd(_xll.Turner.GasVelocityWater($C$2, $C149, $C$1), F$5, $C149, $C$1, $C$2)*1000000)/$D149</f>
        <v>340.83675376191235</v>
      </c>
      <c r="G149" s="13" cm="1">
        <f t="array" ref="G149">(_xll.Turner.GasRateStd(_xll.Turner.GasVelocityWater($C$2, $C149, $C$1), G$5, $C149, $C$1, $C$2)*1000000)/$D149</f>
        <v>463.91669262038079</v>
      </c>
      <c r="H149" s="13" cm="1">
        <f t="array" ref="H149">(_xll.Turner.GasRateStd(_xll.Turner.GasVelocityWater($C$2, $C149, $C$1), H$5, $C149, $C$1, $C$2)*1000000)/$D149</f>
        <v>546.85363603577935</v>
      </c>
      <c r="I149" s="13" cm="1">
        <f t="array" ref="I149">(_xll.Turner.GasRateStd(_xll.Turner.GasVelocityWater($C$2, $C149, $C$1), I$5, $C149, $C$1, $C$2)*1000000)/$D149</f>
        <v>854.45880630590523</v>
      </c>
      <c r="J149" s="13" cm="1">
        <f t="array" ref="J149">(_xll.Turner.GasRateStd(_xll.Turner.GasVelocityWater($C$2, $C149, $C$1), J$5, $C149, $C$1, $C$2)*1000000)/$D149</f>
        <v>1252.1016856948031</v>
      </c>
      <c r="K149" s="13" cm="1">
        <f t="array" ref="K149">(_xll.Turner.GasRateStd(_xll.Turner.GasVelocityWater($C$2, $C149, $C$1), K$5, $C149, $C$1, $C$2)*1000000)/$D149</f>
        <v>1855.6667704815231</v>
      </c>
      <c r="L149" s="13" cm="1">
        <f t="array" ref="L149">(_xll.Turner.GasRateStd(_xll.Turner.GasVelocityWater($C$2, $C149, $C$1), L$5, $C149, $C$1, $C$2)*1000000)/$D149</f>
        <v>3067.5307838572116</v>
      </c>
      <c r="M149" s="13" cm="1">
        <f t="array" ref="M149">(_xll.Turner.GasRateStd(_xll.Turner.GasVelocityWater($C$2, $C149, $C$1), M$5, $C149, $C$1, $C$2)*1000000)/$D149</f>
        <v>4582.3608005768219</v>
      </c>
      <c r="N149" s="13" cm="1">
        <f t="array" ref="N149">(_xll.Turner.GasRateStd(_xll.Turner.GasVelocityWater($C$2, $C149, $C$1), N$5, $C149, $C$1, $C$2)*1000000)/$D149</f>
        <v>7422.6670819260926</v>
      </c>
    </row>
    <row r="150" spans="3:14" hidden="1" x14ac:dyDescent="0.45">
      <c r="C150" s="35">
        <f t="shared" si="16"/>
        <v>4014.7</v>
      </c>
      <c r="D150" s="33">
        <f t="shared" si="17"/>
        <v>3000</v>
      </c>
      <c r="E150" s="13" cm="1">
        <f t="array" ref="E150">(_xll.Turner.GasRateStd(_xll.Turner.GasVelocityWater($C$2, $C150, $C$1), E$5, $C150, $C$1, $C$2)*1000000)/$D150</f>
        <v>260.42706865391483</v>
      </c>
      <c r="F150" s="13" cm="1">
        <f t="array" ref="F150">(_xll.Turner.GasRateStd(_xll.Turner.GasVelocityWater($C$2, $C150, $C$1), F$5, $C150, $C$1, $C$2)*1000000)/$D150</f>
        <v>375.01497886163742</v>
      </c>
      <c r="G150" s="13" cm="1">
        <f t="array" ref="G150">(_xll.Turner.GasRateStd(_xll.Turner.GasVelocityWater($C$2, $C150, $C$1), G$5, $C150, $C$1, $C$2)*1000000)/$D150</f>
        <v>510.43705456167311</v>
      </c>
      <c r="H150" s="13" cm="1">
        <f t="array" ref="H150">(_xll.Turner.GasRateStd(_xll.Turner.GasVelocityWater($C$2, $C150, $C$1), H$5, $C150, $C$1, $C$2)*1000000)/$D150</f>
        <v>601.6906994180049</v>
      </c>
      <c r="I150" s="13" cm="1">
        <f t="array" ref="I150">(_xll.Turner.GasRateStd(_xll.Turner.GasVelocityWater($C$2, $C150, $C$1), I$5, $C150, $C$1, $C$2)*1000000)/$D150</f>
        <v>940.14171784063262</v>
      </c>
      <c r="J150" s="13" cm="1">
        <f t="array" ref="J150">(_xll.Turner.GasRateStd(_xll.Turner.GasVelocityWater($C$2, $C150, $C$1), J$5, $C150, $C$1, $C$2)*1000000)/$D150</f>
        <v>1377.6591931792095</v>
      </c>
      <c r="K150" s="13" cm="1">
        <f t="array" ref="K150">(_xll.Turner.GasRateStd(_xll.Turner.GasVelocityWater($C$2, $C150, $C$1), K$5, $C150, $C$1, $C$2)*1000000)/$D150</f>
        <v>2041.7482182466924</v>
      </c>
      <c r="L150" s="13" cm="1">
        <f t="array" ref="L150">(_xll.Turner.GasRateStd(_xll.Turner.GasVelocityWater($C$2, $C150, $C$1), L$5, $C150, $C$1, $C$2)*1000000)/$D150</f>
        <v>3375.1348097547361</v>
      </c>
      <c r="M150" s="13" cm="1">
        <f t="array" ref="M150">(_xll.Turner.GasRateStd(_xll.Turner.GasVelocityWater($C$2, $C150, $C$1), M$5, $C150, $C$1, $C$2)*1000000)/$D150</f>
        <v>5041.8680491397918</v>
      </c>
      <c r="N150" s="13" cm="1">
        <f t="array" ref="N150">(_xll.Turner.GasRateStd(_xll.Turner.GasVelocityWater($C$2, $C150, $C$1), N$5, $C150, $C$1, $C$2)*1000000)/$D150</f>
        <v>8166.9928729867697</v>
      </c>
    </row>
    <row r="151" spans="3:14" hidden="1" x14ac:dyDescent="0.45">
      <c r="C151" s="12">
        <f t="shared" si="16"/>
        <v>5014.7</v>
      </c>
      <c r="D151" s="33">
        <f t="shared" si="17"/>
        <v>3000</v>
      </c>
      <c r="E151" s="13" cm="1">
        <f t="array" ref="E151">(_xll.Turner.GasRateStd(_xll.Turner.GasVelocityWater($C$2, $C151, $C$1), E$5, $C151, $C$1, $C$2)*1000000)/$D151</f>
        <v>275.67759822286183</v>
      </c>
      <c r="F151" s="13" cm="1">
        <f t="array" ref="F151">(_xll.Turner.GasRateStd(_xll.Turner.GasVelocityWater($C$2, $C151, $C$1), F$5, $C151, $C$1, $C$2)*1000000)/$D151</f>
        <v>396.97574144092101</v>
      </c>
      <c r="G151" s="13" cm="1">
        <f t="array" ref="G151">(_xll.Turner.GasRateStd(_xll.Turner.GasVelocityWater($C$2, $C151, $C$1), G$5, $C151, $C$1, $C$2)*1000000)/$D151</f>
        <v>540.32809251680919</v>
      </c>
      <c r="H151" s="13" cm="1">
        <f t="array" ref="H151">(_xll.Turner.GasRateStd(_xll.Turner.GasVelocityWater($C$2, $C151, $C$1), H$5, $C151, $C$1, $C$2)*1000000)/$D151</f>
        <v>636.92552293409994</v>
      </c>
      <c r="I151" s="13" cm="1">
        <f t="array" ref="I151">(_xll.Turner.GasRateStd(_xll.Turner.GasVelocityWater($C$2, $C151, $C$1), I$5, $C151, $C$1, $C$2)*1000000)/$D151</f>
        <v>995.19612958453104</v>
      </c>
      <c r="J151" s="13" cm="1">
        <f t="array" ref="J151">(_xll.Turner.GasRateStd(_xll.Turner.GasVelocityWater($C$2, $C151, $C$1), J$5, $C151, $C$1, $C$2)*1000000)/$D151</f>
        <v>1458.3344945989388</v>
      </c>
      <c r="K151" s="13" cm="1">
        <f t="array" ref="K151">(_xll.Turner.GasRateStd(_xll.Turner.GasVelocityWater($C$2, $C151, $C$1), K$5, $C151, $C$1, $C$2)*1000000)/$D151</f>
        <v>2161.3123700672368</v>
      </c>
      <c r="L151" s="13" cm="1">
        <f t="array" ref="L151">(_xll.Turner.GasRateStd(_xll.Turner.GasVelocityWater($C$2, $C151, $C$1), L$5, $C151, $C$1, $C$2)*1000000)/$D151</f>
        <v>3572.7816729682895</v>
      </c>
      <c r="M151" s="13" cm="1">
        <f t="array" ref="M151">(_xll.Turner.GasRateStd(_xll.Turner.GasVelocityWater($C$2, $C151, $C$1), M$5, $C151, $C$1, $C$2)*1000000)/$D151</f>
        <v>5337.1183015946035</v>
      </c>
      <c r="N151" s="13" cm="1">
        <f t="array" ref="N151">(_xll.Turner.GasRateStd(_xll.Turner.GasVelocityWater($C$2, $C151, $C$1), N$5, $C151, $C$1, $C$2)*1000000)/$D151</f>
        <v>8645.2494802689471</v>
      </c>
    </row>
    <row r="152" spans="3:14" x14ac:dyDescent="0.45">
      <c r="C152" s="35">
        <f t="shared" si="16"/>
        <v>64.7</v>
      </c>
      <c r="D152" s="33">
        <f t="shared" si="17"/>
        <v>4000</v>
      </c>
      <c r="E152" s="13" cm="1">
        <f t="array" ref="E152">(_xll.Turner.GasRateStd(_xll.Turner.GasVelocityWater($C$2, $C152, $C$1), E$5, $C152, $C$1, $C$2)*1000000)/$D152</f>
        <v>24.85420746232835</v>
      </c>
      <c r="F152" s="13" cm="1">
        <f t="array" ref="F152">(_xll.Turner.GasRateStd(_xll.Turner.GasVelocityWater($C$2, $C152, $C$1), F$5, $C152, $C$1, $C$2)*1000000)/$D152</f>
        <v>35.790058745752823</v>
      </c>
      <c r="G152" s="13" cm="1">
        <f t="array" ref="G152">(_xll.Turner.GasRateStd(_xll.Turner.GasVelocityWater($C$2, $C152, $C$1), G$5, $C152, $C$1, $C$2)*1000000)/$D152</f>
        <v>48.714246626163579</v>
      </c>
      <c r="H152" s="13" cm="1">
        <f t="array" ref="H152">(_xll.Turner.GasRateStd(_xll.Turner.GasVelocityWater($C$2, $C152, $C$1), H$5, $C152, $C$1, $C$2)*1000000)/$D152</f>
        <v>57.423160920963419</v>
      </c>
      <c r="I152" s="13" cm="1">
        <f t="array" ref="I152">(_xll.Turner.GasRateStd(_xll.Turner.GasVelocityWater($C$2, $C152, $C$1), I$5, $C152, $C$1, $C$2)*1000000)/$D152</f>
        <v>89.723688939005356</v>
      </c>
      <c r="J152" s="13" cm="1">
        <f t="array" ref="J152">(_xll.Turner.GasRateStd(_xll.Turner.GasVelocityWater($C$2, $C152, $C$1), J$5, $C152, $C$1, $C$2)*1000000)/$D152</f>
        <v>131.47875747571698</v>
      </c>
      <c r="K152" s="13" cm="1">
        <f t="array" ref="K152">(_xll.Turner.GasRateStd(_xll.Turner.GasVelocityWater($C$2, $C152, $C$1), K$5, $C152, $C$1, $C$2)*1000000)/$D152</f>
        <v>194.85698650465432</v>
      </c>
      <c r="L152" s="13" cm="1">
        <f t="array" ref="L152">(_xll.Turner.GasRateStd(_xll.Turner.GasVelocityWater($C$2, $C152, $C$1), L$5, $C152, $C$1, $C$2)*1000000)/$D152</f>
        <v>322.11052871177549</v>
      </c>
      <c r="M152" s="13" cm="1">
        <f t="array" ref="M152">(_xll.Turner.GasRateStd(_xll.Turner.GasVelocityWater($C$2, $C152, $C$1), M$5, $C152, $C$1, $C$2)*1000000)/$D152</f>
        <v>481.17745647067676</v>
      </c>
      <c r="N152" s="13" cm="1">
        <f t="array" ref="N152">(_xll.Turner.GasRateStd(_xll.Turner.GasVelocityWater($C$2, $C152, $C$1), N$5, $C152, $C$1, $C$2)*1000000)/$D152</f>
        <v>779.42794601861726</v>
      </c>
    </row>
    <row r="153" spans="3:14" hidden="1" x14ac:dyDescent="0.45">
      <c r="C153" s="12">
        <f t="shared" si="16"/>
        <v>114.7</v>
      </c>
      <c r="D153" s="33">
        <f t="shared" si="17"/>
        <v>4000</v>
      </c>
      <c r="E153" s="13" cm="1">
        <f t="array" ref="E153">(_xll.Turner.GasRateStd(_xll.Turner.GasVelocityWater($C$2, $C153, $C$1), E$5, $C153, $C$1, $C$2)*1000000)/$D153</f>
        <v>33.179188616933679</v>
      </c>
      <c r="F153" s="13" cm="1">
        <f t="array" ref="F153">(_xll.Turner.GasRateStd(_xll.Turner.GasVelocityWater($C$2, $C153, $C$1), F$5, $C153, $C$1, $C$2)*1000000)/$D153</f>
        <v>47.778031608384495</v>
      </c>
      <c r="G153" s="13" cm="1">
        <f t="array" ref="G153">(_xll.Turner.GasRateStd(_xll.Turner.GasVelocityWater($C$2, $C153, $C$1), G$5, $C153, $C$1, $C$2)*1000000)/$D153</f>
        <v>65.031209689190021</v>
      </c>
      <c r="H153" s="13" cm="1">
        <f t="array" ref="H153">(_xll.Turner.GasRateStd(_xll.Turner.GasVelocityWater($C$2, $C153, $C$1), H$5, $C153, $C$1, $C$2)*1000000)/$D153</f>
        <v>76.657197380563574</v>
      </c>
      <c r="I153" s="13" cm="1">
        <f t="array" ref="I153">(_xll.Turner.GasRateStd(_xll.Turner.GasVelocityWater($C$2, $C153, $C$1), I$5, $C153, $C$1, $C$2)*1000000)/$D153</f>
        <v>119.77687090713056</v>
      </c>
      <c r="J153" s="13" cm="1">
        <f t="array" ref="J153">(_xll.Turner.GasRateStd(_xll.Turner.GasVelocityWater($C$2, $C153, $C$1), J$5, $C153, $C$1, $C$2)*1000000)/$D153</f>
        <v>175.51790778357918</v>
      </c>
      <c r="K153" s="13" cm="1">
        <f t="array" ref="K153">(_xll.Turner.GasRateStd(_xll.Turner.GasVelocityWater($C$2, $C153, $C$1), K$5, $C153, $C$1, $C$2)*1000000)/$D153</f>
        <v>260.12483875676008</v>
      </c>
      <c r="L153" s="13" cm="1">
        <f t="array" ref="L153">(_xll.Turner.GasRateStd(_xll.Turner.GasVelocityWater($C$2, $C153, $C$1), L$5, $C153, $C$1, $C$2)*1000000)/$D153</f>
        <v>430.0022844754605</v>
      </c>
      <c r="M153" s="13" cm="1">
        <f t="array" ref="M153">(_xll.Turner.GasRateStd(_xll.Turner.GasVelocityWater($C$2, $C153, $C$1), M$5, $C153, $C$1, $C$2)*1000000)/$D153</f>
        <v>642.34909162383599</v>
      </c>
      <c r="N153" s="13" cm="1">
        <f t="array" ref="N153">(_xll.Turner.GasRateStd(_xll.Turner.GasVelocityWater($C$2, $C153, $C$1), N$5, $C153, $C$1, $C$2)*1000000)/$D153</f>
        <v>1040.4993550270403</v>
      </c>
    </row>
    <row r="154" spans="3:14" hidden="1" x14ac:dyDescent="0.45">
      <c r="C154" s="35">
        <f t="shared" si="16"/>
        <v>264.7</v>
      </c>
      <c r="D154" s="33">
        <f t="shared" si="17"/>
        <v>4000</v>
      </c>
      <c r="E154" s="13" cm="1">
        <f t="array" ref="E154">(_xll.Turner.GasRateStd(_xll.Turner.GasVelocityWater($C$2, $C154, $C$1), E$5, $C154, $C$1, $C$2)*1000000)/$D154</f>
        <v>50.798834302982129</v>
      </c>
      <c r="F154" s="13" cm="1">
        <f t="array" ref="F154">(_xll.Turner.GasRateStd(_xll.Turner.GasVelocityWater($C$2, $C154, $C$1), F$5, $C154, $C$1, $C$2)*1000000)/$D154</f>
        <v>73.150321396294274</v>
      </c>
      <c r="G154" s="13" cm="1">
        <f t="array" ref="G154">(_xll.Turner.GasRateStd(_xll.Turner.GasVelocityWater($C$2, $C154, $C$1), G$5, $C154, $C$1, $C$2)*1000000)/$D154</f>
        <v>99.565715233844969</v>
      </c>
      <c r="H154" s="13" cm="1">
        <f t="array" ref="H154">(_xll.Turner.GasRateStd(_xll.Turner.GasVelocityWater($C$2, $C154, $C$1), H$5, $C154, $C$1, $C$2)*1000000)/$D154</f>
        <v>117.36562677360988</v>
      </c>
      <c r="I154" s="13" cm="1">
        <f t="array" ref="I154">(_xll.Turner.GasRateStd(_xll.Turner.GasVelocityWater($C$2, $C154, $C$1), I$5, $C154, $C$1, $C$2)*1000000)/$D154</f>
        <v>183.38379183376543</v>
      </c>
      <c r="J154" s="13" cm="1">
        <f t="array" ref="J154">(_xll.Turner.GasRateStd(_xll.Turner.GasVelocityWater($C$2, $C154, $C$1), J$5, $C154, $C$1, $C$2)*1000000)/$D154</f>
        <v>268.72583346277537</v>
      </c>
      <c r="K154" s="13" cm="1">
        <f t="array" ref="K154">(_xll.Turner.GasRateStd(_xll.Turner.GasVelocityWater($C$2, $C154, $C$1), K$5, $C154, $C$1, $C$2)*1000000)/$D154</f>
        <v>398.26286093537988</v>
      </c>
      <c r="L154" s="13" cm="1">
        <f t="array" ref="L154">(_xll.Turner.GasRateStd(_xll.Turner.GasVelocityWater($C$2, $C154, $C$1), L$5, $C154, $C$1, $C$2)*1000000)/$D154</f>
        <v>658.35289256664828</v>
      </c>
      <c r="M154" s="13" cm="1">
        <f t="array" ref="M154">(_xll.Turner.GasRateStd(_xll.Turner.GasVelocityWater($C$2, $C154, $C$1), M$5, $C154, $C$1, $C$2)*1000000)/$D154</f>
        <v>983.46543210573361</v>
      </c>
      <c r="N154" s="13" cm="1">
        <f t="array" ref="N154">(_xll.Turner.GasRateStd(_xll.Turner.GasVelocityWater($C$2, $C154, $C$1), N$5, $C154, $C$1, $C$2)*1000000)/$D154</f>
        <v>1593.0514437415195</v>
      </c>
    </row>
    <row r="155" spans="3:14" hidden="1" x14ac:dyDescent="0.45">
      <c r="C155" s="12">
        <f t="shared" si="16"/>
        <v>514.70000000000005</v>
      </c>
      <c r="D155" s="33">
        <f t="shared" si="17"/>
        <v>4000</v>
      </c>
      <c r="E155" s="13" cm="1">
        <f t="array" ref="E155">(_xll.Turner.GasRateStd(_xll.Turner.GasVelocityWater($C$2, $C155, $C$1), E$5, $C155, $C$1, $C$2)*1000000)/$D155</f>
        <v>71.74535721261924</v>
      </c>
      <c r="F155" s="13" cm="1">
        <f t="array" ref="F155">(_xll.Turner.GasRateStd(_xll.Turner.GasVelocityWater($C$2, $C155, $C$1), F$5, $C155, $C$1, $C$2)*1000000)/$D155</f>
        <v>103.3133143861717</v>
      </c>
      <c r="G155" s="13" cm="1">
        <f t="array" ref="G155">(_xll.Turner.GasRateStd(_xll.Turner.GasVelocityWater($C$2, $C155, $C$1), G$5, $C155, $C$1, $C$2)*1000000)/$D155</f>
        <v>140.6209001367337</v>
      </c>
      <c r="H155" s="13" cm="1">
        <f t="array" ref="H155">(_xll.Turner.GasRateStd(_xll.Turner.GasVelocityWater($C$2, $C155, $C$1), H$5, $C155, $C$1, $C$2)*1000000)/$D155</f>
        <v>165.76047330403546</v>
      </c>
      <c r="I155" s="13" cm="1">
        <f t="array" ref="I155">(_xll.Turner.GasRateStd(_xll.Turner.GasVelocityWater($C$2, $C155, $C$1), I$5, $C155, $C$1, $C$2)*1000000)/$D155</f>
        <v>259.00073953755543</v>
      </c>
      <c r="J155" s="13" cm="1">
        <f t="array" ref="J155">(_xll.Turner.GasRateStd(_xll.Turner.GasVelocityWater($C$2, $C155, $C$1), J$5, $C155, $C$1, $C$2)*1000000)/$D155</f>
        <v>379.53293965475575</v>
      </c>
      <c r="K155" s="13" cm="1">
        <f t="array" ref="K155">(_xll.Turner.GasRateStd(_xll.Turner.GasVelocityWater($C$2, $C155, $C$1), K$5, $C155, $C$1, $C$2)*1000000)/$D155</f>
        <v>562.48360054693478</v>
      </c>
      <c r="L155" s="13" cm="1">
        <f t="array" ref="L155">(_xll.Turner.GasRateStd(_xll.Turner.GasVelocityWater($C$2, $C155, $C$1), L$5, $C155, $C$1, $C$2)*1000000)/$D155</f>
        <v>929.81982947554525</v>
      </c>
      <c r="M155" s="13" cm="1">
        <f t="array" ref="M155">(_xll.Turner.GasRateStd(_xll.Turner.GasVelocityWater($C$2, $C155, $C$1), M$5, $C155, $C$1, $C$2)*1000000)/$D155</f>
        <v>1388.9901156363082</v>
      </c>
      <c r="N155" s="13" cm="1">
        <f t="array" ref="N155">(_xll.Turner.GasRateStd(_xll.Turner.GasVelocityWater($C$2, $C155, $C$1), N$5, $C155, $C$1, $C$2)*1000000)/$D155</f>
        <v>2249.9344021877391</v>
      </c>
    </row>
    <row r="156" spans="3:14" hidden="1" x14ac:dyDescent="0.45">
      <c r="C156" s="35">
        <f t="shared" si="16"/>
        <v>1014.7</v>
      </c>
      <c r="D156" s="33">
        <f t="shared" si="17"/>
        <v>4000</v>
      </c>
      <c r="E156" s="13" cm="1">
        <f t="array" ref="E156">(_xll.Turner.GasRateStd(_xll.Turner.GasVelocityWater($C$2, $C156, $C$1), E$5, $C156, $C$1, $C$2)*1000000)/$D156</f>
        <v>103.0892877350023</v>
      </c>
      <c r="F156" s="13" cm="1">
        <f t="array" ref="F156">(_xll.Turner.GasRateStd(_xll.Turner.GasVelocityWater($C$2, $C156, $C$1), F$5, $C156, $C$1, $C$2)*1000000)/$D156</f>
        <v>148.44857433840329</v>
      </c>
      <c r="G156" s="13" cm="1">
        <f t="array" ref="G156">(_xll.Turner.GasRateStd(_xll.Turner.GasVelocityWater($C$2, $C156, $C$1), G$5, $C156, $C$1, $C$2)*1000000)/$D156</f>
        <v>202.05500396060452</v>
      </c>
      <c r="H156" s="13" cm="1">
        <f t="array" ref="H156">(_xll.Turner.GasRateStd(_xll.Turner.GasVelocityWater($C$2, $C156, $C$1), H$5, $C156, $C$1, $C$2)*1000000)/$D156</f>
        <v>238.17749038294929</v>
      </c>
      <c r="I156" s="13" cm="1">
        <f t="array" ref="I156">(_xll.Turner.GasRateStd(_xll.Turner.GasVelocityWater($C$2, $C156, $C$1), I$5, $C156, $C$1, $C$2)*1000000)/$D156</f>
        <v>372.15232872335827</v>
      </c>
      <c r="J156" s="13" cm="1">
        <f t="array" ref="J156">(_xll.Turner.GasRateStd(_xll.Turner.GasVelocityWater($C$2, $C156, $C$1), J$5, $C156, $C$1, $C$2)*1000000)/$D156</f>
        <v>545.34233211816206</v>
      </c>
      <c r="K156" s="13" cm="1">
        <f t="array" ref="K156">(_xll.Turner.GasRateStd(_xll.Turner.GasVelocityWater($C$2, $C156, $C$1), K$5, $C156, $C$1, $C$2)*1000000)/$D156</f>
        <v>808.22001584241809</v>
      </c>
      <c r="L156" s="13" cm="1">
        <f t="array" ref="L156">(_xll.Turner.GasRateStd(_xll.Turner.GasVelocityWater($C$2, $C156, $C$1), L$5, $C156, $C$1, $C$2)*1000000)/$D156</f>
        <v>1336.03716904563</v>
      </c>
      <c r="M156" s="13" cm="1">
        <f t="array" ref="M156">(_xll.Turner.GasRateStd(_xll.Turner.GasVelocityWater($C$2, $C156, $C$1), M$5, $C156, $C$1, $C$2)*1000000)/$D156</f>
        <v>1995.8086105496438</v>
      </c>
      <c r="N156" s="13" cm="1">
        <f t="array" ref="N156">(_xll.Turner.GasRateStd(_xll.Turner.GasVelocityWater($C$2, $C156, $C$1), N$5, $C156, $C$1, $C$2)*1000000)/$D156</f>
        <v>3232.8800633696724</v>
      </c>
    </row>
    <row r="157" spans="3:14" hidden="1" x14ac:dyDescent="0.45">
      <c r="C157" s="12">
        <f t="shared" si="16"/>
        <v>2014.7</v>
      </c>
      <c r="D157" s="33">
        <f t="shared" si="17"/>
        <v>4000</v>
      </c>
      <c r="E157" s="13" cm="1">
        <f t="array" ref="E157">(_xll.Turner.GasRateStd(_xll.Turner.GasVelocityWater($C$2, $C157, $C$1), E$5, $C157, $C$1, $C$2)*1000000)/$D157</f>
        <v>148.44855941918905</v>
      </c>
      <c r="F157" s="13" cm="1">
        <f t="array" ref="F157">(_xll.Turner.GasRateStd(_xll.Turner.GasVelocityWater($C$2, $C157, $C$1), F$5, $C157, $C$1, $C$2)*1000000)/$D157</f>
        <v>213.76592556363221</v>
      </c>
      <c r="G157" s="13" cm="1">
        <f t="array" ref="G157">(_xll.Turner.GasRateStd(_xll.Turner.GasVelocityWater($C$2, $C157, $C$1), G$5, $C157, $C$1, $C$2)*1000000)/$D157</f>
        <v>290.95917646161058</v>
      </c>
      <c r="H157" s="13" cm="1">
        <f t="array" ref="H157">(_xll.Turner.GasRateStd(_xll.Turner.GasVelocityWater($C$2, $C157, $C$1), H$5, $C157, $C$1, $C$2)*1000000)/$D157</f>
        <v>342.97555168209431</v>
      </c>
      <c r="I157" s="13" cm="1">
        <f t="array" ref="I157">(_xll.Turner.GasRateStd(_xll.Turner.GasVelocityWater($C$2, $C157, $C$1), I$5, $C157, $C$1, $C$2)*1000000)/$D157</f>
        <v>535.89929950327223</v>
      </c>
      <c r="J157" s="13" cm="1">
        <f t="array" ref="J157">(_xll.Turner.GasRateStd(_xll.Turner.GasVelocityWater($C$2, $C157, $C$1), J$5, $C157, $C$1, $C$2)*1000000)/$D157</f>
        <v>785.29287932751004</v>
      </c>
      <c r="K157" s="13" cm="1">
        <f t="array" ref="K157">(_xll.Turner.GasRateStd(_xll.Turner.GasVelocityWater($C$2, $C157, $C$1), K$5, $C157, $C$1, $C$2)*1000000)/$D157</f>
        <v>1163.8367058464423</v>
      </c>
      <c r="L157" s="13" cm="1">
        <f t="array" ref="L157">(_xll.Turner.GasRateStd(_xll.Turner.GasVelocityWater($C$2, $C157, $C$1), L$5, $C157, $C$1, $C$2)*1000000)/$D157</f>
        <v>1923.8933300726901</v>
      </c>
      <c r="M157" s="13" cm="1">
        <f t="array" ref="M157">(_xll.Turner.GasRateStd(_xll.Turner.GasVelocityWater($C$2, $C157, $C$1), M$5, $C157, $C$1, $C$2)*1000000)/$D157</f>
        <v>2873.9641103554986</v>
      </c>
      <c r="N157" s="13" cm="1">
        <f t="array" ref="N157">(_xll.Turner.GasRateStd(_xll.Turner.GasVelocityWater($C$2, $C157, $C$1), N$5, $C157, $C$1, $C$2)*1000000)/$D157</f>
        <v>4655.3468233857693</v>
      </c>
    </row>
    <row r="158" spans="3:14" hidden="1" x14ac:dyDescent="0.45">
      <c r="C158" s="35">
        <f t="shared" si="16"/>
        <v>3014.7</v>
      </c>
      <c r="D158" s="33">
        <f t="shared" si="17"/>
        <v>4000</v>
      </c>
      <c r="E158" s="13" cm="1">
        <f t="array" ref="E158">(_xll.Turner.GasRateStd(_xll.Turner.GasVelocityWater($C$2, $C158, $C$1), E$5, $C158, $C$1, $C$2)*1000000)/$D158</f>
        <v>177.51914258432939</v>
      </c>
      <c r="F158" s="13" cm="1">
        <f t="array" ref="F158">(_xll.Turner.GasRateStd(_xll.Turner.GasVelocityWater($C$2, $C158, $C$1), F$5, $C158, $C$1, $C$2)*1000000)/$D158</f>
        <v>255.62756532143425</v>
      </c>
      <c r="G158" s="13" cm="1">
        <f t="array" ref="G158">(_xll.Turner.GasRateStd(_xll.Turner.GasVelocityWater($C$2, $C158, $C$1), G$5, $C158, $C$1, $C$2)*1000000)/$D158</f>
        <v>347.93751946528556</v>
      </c>
      <c r="H158" s="13" cm="1">
        <f t="array" ref="H158">(_xll.Turner.GasRateStd(_xll.Turner.GasVelocityWater($C$2, $C158, $C$1), H$5, $C158, $C$1, $C$2)*1000000)/$D158</f>
        <v>410.14022702683451</v>
      </c>
      <c r="I158" s="13" cm="1">
        <f t="array" ref="I158">(_xll.Turner.GasRateStd(_xll.Turner.GasVelocityWater($C$2, $C158, $C$1), I$5, $C158, $C$1, $C$2)*1000000)/$D158</f>
        <v>640.84410472942886</v>
      </c>
      <c r="J158" s="13" cm="1">
        <f t="array" ref="J158">(_xll.Turner.GasRateStd(_xll.Turner.GasVelocityWater($C$2, $C158, $C$1), J$5, $C158, $C$1, $C$2)*1000000)/$D158</f>
        <v>939.07626427110222</v>
      </c>
      <c r="K158" s="13" cm="1">
        <f t="array" ref="K158">(_xll.Turner.GasRateStd(_xll.Turner.GasVelocityWater($C$2, $C158, $C$1), K$5, $C158, $C$1, $C$2)*1000000)/$D158</f>
        <v>1391.7500778611422</v>
      </c>
      <c r="L158" s="13" cm="1">
        <f t="array" ref="L158">(_xll.Turner.GasRateStd(_xll.Turner.GasVelocityWater($C$2, $C158, $C$1), L$5, $C158, $C$1, $C$2)*1000000)/$D158</f>
        <v>2300.6480878929087</v>
      </c>
      <c r="M158" s="13" cm="1">
        <f t="array" ref="M158">(_xll.Turner.GasRateStd(_xll.Turner.GasVelocityWater($C$2, $C158, $C$1), M$5, $C158, $C$1, $C$2)*1000000)/$D158</f>
        <v>3436.770600432616</v>
      </c>
      <c r="N158" s="13" cm="1">
        <f t="array" ref="N158">(_xll.Turner.GasRateStd(_xll.Turner.GasVelocityWater($C$2, $C158, $C$1), N$5, $C158, $C$1, $C$2)*1000000)/$D158</f>
        <v>5567.000311444569</v>
      </c>
    </row>
    <row r="159" spans="3:14" hidden="1" x14ac:dyDescent="0.45">
      <c r="C159" s="12">
        <f t="shared" si="16"/>
        <v>4014.7</v>
      </c>
      <c r="D159" s="33">
        <f t="shared" si="17"/>
        <v>4000</v>
      </c>
      <c r="E159" s="13" cm="1">
        <f t="array" ref="E159">(_xll.Turner.GasRateStd(_xll.Turner.GasVelocityWater($C$2, $C159, $C$1), E$5, $C159, $C$1, $C$2)*1000000)/$D159</f>
        <v>195.32030149043612</v>
      </c>
      <c r="F159" s="13" cm="1">
        <f t="array" ref="F159">(_xll.Turner.GasRateStd(_xll.Turner.GasVelocityWater($C$2, $C159, $C$1), F$5, $C159, $C$1, $C$2)*1000000)/$D159</f>
        <v>281.26123414622805</v>
      </c>
      <c r="G159" s="13" cm="1">
        <f t="array" ref="G159">(_xll.Turner.GasRateStd(_xll.Turner.GasVelocityWater($C$2, $C159, $C$1), G$5, $C159, $C$1, $C$2)*1000000)/$D159</f>
        <v>382.82779092125486</v>
      </c>
      <c r="H159" s="13" cm="1">
        <f t="array" ref="H159">(_xll.Turner.GasRateStd(_xll.Turner.GasVelocityWater($C$2, $C159, $C$1), H$5, $C159, $C$1, $C$2)*1000000)/$D159</f>
        <v>451.26802456350367</v>
      </c>
      <c r="I159" s="13" cm="1">
        <f t="array" ref="I159">(_xll.Turner.GasRateStd(_xll.Turner.GasVelocityWater($C$2, $C159, $C$1), I$5, $C159, $C$1, $C$2)*1000000)/$D159</f>
        <v>705.10628838047444</v>
      </c>
      <c r="J159" s="13" cm="1">
        <f t="array" ref="J159">(_xll.Turner.GasRateStd(_xll.Turner.GasVelocityWater($C$2, $C159, $C$1), J$5, $C159, $C$1, $C$2)*1000000)/$D159</f>
        <v>1033.2443948844073</v>
      </c>
      <c r="K159" s="13" cm="1">
        <f t="array" ref="K159">(_xll.Turner.GasRateStd(_xll.Turner.GasVelocityWater($C$2, $C159, $C$1), K$5, $C159, $C$1, $C$2)*1000000)/$D159</f>
        <v>1531.3111636850194</v>
      </c>
      <c r="L159" s="13" cm="1">
        <f t="array" ref="L159">(_xll.Turner.GasRateStd(_xll.Turner.GasVelocityWater($C$2, $C159, $C$1), L$5, $C159, $C$1, $C$2)*1000000)/$D159</f>
        <v>2531.3511073160521</v>
      </c>
      <c r="M159" s="13" cm="1">
        <f t="array" ref="M159">(_xll.Turner.GasRateStd(_xll.Turner.GasVelocityWater($C$2, $C159, $C$1), M$5, $C159, $C$1, $C$2)*1000000)/$D159</f>
        <v>3781.4010368548438</v>
      </c>
      <c r="N159" s="13" cm="1">
        <f t="array" ref="N159">(_xll.Turner.GasRateStd(_xll.Turner.GasVelocityWater($C$2, $C159, $C$1), N$5, $C159, $C$1, $C$2)*1000000)/$D159</f>
        <v>6125.2446547400777</v>
      </c>
    </row>
    <row r="160" spans="3:14" hidden="1" x14ac:dyDescent="0.45">
      <c r="C160" s="35">
        <f t="shared" si="16"/>
        <v>5014.7</v>
      </c>
      <c r="D160" s="33">
        <f t="shared" si="17"/>
        <v>4000</v>
      </c>
      <c r="E160" s="13" cm="1">
        <f t="array" ref="E160">(_xll.Turner.GasRateStd(_xll.Turner.GasVelocityWater($C$2, $C160, $C$1), E$5, $C160, $C$1, $C$2)*1000000)/$D160</f>
        <v>206.75819866714639</v>
      </c>
      <c r="F160" s="13" cm="1">
        <f t="array" ref="F160">(_xll.Turner.GasRateStd(_xll.Turner.GasVelocityWater($C$2, $C160, $C$1), F$5, $C160, $C$1, $C$2)*1000000)/$D160</f>
        <v>297.73180608069077</v>
      </c>
      <c r="G160" s="13" cm="1">
        <f t="array" ref="G160">(_xll.Turner.GasRateStd(_xll.Turner.GasVelocityWater($C$2, $C160, $C$1), G$5, $C160, $C$1, $C$2)*1000000)/$D160</f>
        <v>405.24606938760689</v>
      </c>
      <c r="H160" s="13" cm="1">
        <f t="array" ref="H160">(_xll.Turner.GasRateStd(_xll.Turner.GasVelocityWater($C$2, $C160, $C$1), H$5, $C160, $C$1, $C$2)*1000000)/$D160</f>
        <v>477.6941422005749</v>
      </c>
      <c r="I160" s="13" cm="1">
        <f t="array" ref="I160">(_xll.Turner.GasRateStd(_xll.Turner.GasVelocityWater($C$2, $C160, $C$1), I$5, $C160, $C$1, $C$2)*1000000)/$D160</f>
        <v>746.39709718839822</v>
      </c>
      <c r="J160" s="13" cm="1">
        <f t="array" ref="J160">(_xll.Turner.GasRateStd(_xll.Turner.GasVelocityWater($C$2, $C160, $C$1), J$5, $C160, $C$1, $C$2)*1000000)/$D160</f>
        <v>1093.750870949204</v>
      </c>
      <c r="K160" s="13" cm="1">
        <f t="array" ref="K160">(_xll.Turner.GasRateStd(_xll.Turner.GasVelocityWater($C$2, $C160, $C$1), K$5, $C160, $C$1, $C$2)*1000000)/$D160</f>
        <v>1620.9842775504276</v>
      </c>
      <c r="L160" s="13" cm="1">
        <f t="array" ref="L160">(_xll.Turner.GasRateStd(_xll.Turner.GasVelocityWater($C$2, $C160, $C$1), L$5, $C160, $C$1, $C$2)*1000000)/$D160</f>
        <v>2679.5862547262172</v>
      </c>
      <c r="M160" s="13" cm="1">
        <f t="array" ref="M160">(_xll.Turner.GasRateStd(_xll.Turner.GasVelocityWater($C$2, $C160, $C$1), M$5, $C160, $C$1, $C$2)*1000000)/$D160</f>
        <v>4002.8387261959529</v>
      </c>
      <c r="N160" s="13" cm="1">
        <f t="array" ref="N160">(_xll.Turner.GasRateStd(_xll.Turner.GasVelocityWater($C$2, $C160, $C$1), N$5, $C160, $C$1, $C$2)*1000000)/$D160</f>
        <v>6483.9371102017103</v>
      </c>
    </row>
    <row r="161" spans="3:14" x14ac:dyDescent="0.45">
      <c r="C161" s="12">
        <f t="shared" ref="C161:C178" si="18">C152</f>
        <v>64.7</v>
      </c>
      <c r="D161" s="33">
        <f t="shared" si="17"/>
        <v>5000</v>
      </c>
      <c r="E161" s="13" cm="1">
        <f t="array" ref="E161">(_xll.Turner.GasRateStd(_xll.Turner.GasVelocityWater($C$2, $C161, $C$1), E$5, $C161, $C$1, $C$2)*1000000)/$D161</f>
        <v>19.88336596986268</v>
      </c>
      <c r="F161" s="13" cm="1">
        <f t="array" ref="F161">(_xll.Turner.GasRateStd(_xll.Turner.GasVelocityWater($C$2, $C161, $C$1), F$5, $C161, $C$1, $C$2)*1000000)/$D161</f>
        <v>28.632046996602259</v>
      </c>
      <c r="G161" s="13" cm="1">
        <f t="array" ref="G161">(_xll.Turner.GasRateStd(_xll.Turner.GasVelocityWater($C$2, $C161, $C$1), G$5, $C161, $C$1, $C$2)*1000000)/$D161</f>
        <v>38.97139730093086</v>
      </c>
      <c r="H161" s="13" cm="1">
        <f t="array" ref="H161">(_xll.Turner.GasRateStd(_xll.Turner.GasVelocityWater($C$2, $C161, $C$1), H$5, $C161, $C$1, $C$2)*1000000)/$D161</f>
        <v>45.938528736770735</v>
      </c>
      <c r="I161" s="13" cm="1">
        <f t="array" ref="I161">(_xll.Turner.GasRateStd(_xll.Turner.GasVelocityWater($C$2, $C161, $C$1), I$5, $C161, $C$1, $C$2)*1000000)/$D161</f>
        <v>71.778951151204282</v>
      </c>
      <c r="J161" s="13" cm="1">
        <f t="array" ref="J161">(_xll.Turner.GasRateStd(_xll.Turner.GasVelocityWater($C$2, $C161, $C$1), J$5, $C161, $C$1, $C$2)*1000000)/$D161</f>
        <v>105.18300598057357</v>
      </c>
      <c r="K161" s="13" cm="1">
        <f t="array" ref="K161">(_xll.Turner.GasRateStd(_xll.Turner.GasVelocityWater($C$2, $C161, $C$1), K$5, $C161, $C$1, $C$2)*1000000)/$D161</f>
        <v>155.88558920372344</v>
      </c>
      <c r="L161" s="13" cm="1">
        <f t="array" ref="L161">(_xll.Turner.GasRateStd(_xll.Turner.GasVelocityWater($C$2, $C161, $C$1), L$5, $C161, $C$1, $C$2)*1000000)/$D161</f>
        <v>257.6884229694204</v>
      </c>
      <c r="M161" s="13" cm="1">
        <f t="array" ref="M161">(_xll.Turner.GasRateStd(_xll.Turner.GasVelocityWater($C$2, $C161, $C$1), M$5, $C161, $C$1, $C$2)*1000000)/$D161</f>
        <v>384.94196517654143</v>
      </c>
      <c r="N161" s="13" cm="1">
        <f t="array" ref="N161">(_xll.Turner.GasRateStd(_xll.Turner.GasVelocityWater($C$2, $C161, $C$1), N$5, $C161, $C$1, $C$2)*1000000)/$D161</f>
        <v>623.54235681489376</v>
      </c>
    </row>
    <row r="162" spans="3:14" hidden="1" x14ac:dyDescent="0.45">
      <c r="C162" s="35">
        <f t="shared" si="18"/>
        <v>114.7</v>
      </c>
      <c r="D162" s="33">
        <f t="shared" si="17"/>
        <v>5000</v>
      </c>
      <c r="E162" s="13" cm="1">
        <f t="array" ref="E162">(_xll.Turner.GasRateStd(_xll.Turner.GasVelocityWater($C$2, $C162, $C$1), E$5, $C162, $C$1, $C$2)*1000000)/$D162</f>
        <v>26.543350893546943</v>
      </c>
      <c r="F162" s="13" cm="1">
        <f t="array" ref="F162">(_xll.Turner.GasRateStd(_xll.Turner.GasVelocityWater($C$2, $C162, $C$1), F$5, $C162, $C$1, $C$2)*1000000)/$D162</f>
        <v>38.222425286707598</v>
      </c>
      <c r="G162" s="13" cm="1">
        <f t="array" ref="G162">(_xll.Turner.GasRateStd(_xll.Turner.GasVelocityWater($C$2, $C162, $C$1), G$5, $C162, $C$1, $C$2)*1000000)/$D162</f>
        <v>52.024967751352008</v>
      </c>
      <c r="H162" s="13" cm="1">
        <f t="array" ref="H162">(_xll.Turner.GasRateStd(_xll.Turner.GasVelocityWater($C$2, $C162, $C$1), H$5, $C162, $C$1, $C$2)*1000000)/$D162</f>
        <v>61.32575790445086</v>
      </c>
      <c r="I162" s="13" cm="1">
        <f t="array" ref="I162">(_xll.Turner.GasRateStd(_xll.Turner.GasVelocityWater($C$2, $C162, $C$1), I$5, $C162, $C$1, $C$2)*1000000)/$D162</f>
        <v>95.821496725704449</v>
      </c>
      <c r="J162" s="13" cm="1">
        <f t="array" ref="J162">(_xll.Turner.GasRateStd(_xll.Turner.GasVelocityWater($C$2, $C162, $C$1), J$5, $C162, $C$1, $C$2)*1000000)/$D162</f>
        <v>140.41432622686332</v>
      </c>
      <c r="K162" s="13" cm="1">
        <f t="array" ref="K162">(_xll.Turner.GasRateStd(_xll.Turner.GasVelocityWater($C$2, $C162, $C$1), K$5, $C162, $C$1, $C$2)*1000000)/$D162</f>
        <v>208.09987100540803</v>
      </c>
      <c r="L162" s="13" cm="1">
        <f t="array" ref="L162">(_xll.Turner.GasRateStd(_xll.Turner.GasVelocityWater($C$2, $C162, $C$1), L$5, $C162, $C$1, $C$2)*1000000)/$D162</f>
        <v>344.0018275803684</v>
      </c>
      <c r="M162" s="13" cm="1">
        <f t="array" ref="M162">(_xll.Turner.GasRateStd(_xll.Turner.GasVelocityWater($C$2, $C162, $C$1), M$5, $C162, $C$1, $C$2)*1000000)/$D162</f>
        <v>513.87927329906881</v>
      </c>
      <c r="N162" s="13" cm="1">
        <f t="array" ref="N162">(_xll.Turner.GasRateStd(_xll.Turner.GasVelocityWater($C$2, $C162, $C$1), N$5, $C162, $C$1, $C$2)*1000000)/$D162</f>
        <v>832.39948402163213</v>
      </c>
    </row>
    <row r="163" spans="3:14" hidden="1" x14ac:dyDescent="0.45">
      <c r="C163" s="12">
        <f t="shared" si="18"/>
        <v>264.7</v>
      </c>
      <c r="D163" s="33">
        <f t="shared" si="17"/>
        <v>5000</v>
      </c>
      <c r="E163" s="13" cm="1">
        <f t="array" ref="E163">(_xll.Turner.GasRateStd(_xll.Turner.GasVelocityWater($C$2, $C163, $C$1), E$5, $C163, $C$1, $C$2)*1000000)/$D163</f>
        <v>40.639067442385702</v>
      </c>
      <c r="F163" s="13" cm="1">
        <f t="array" ref="F163">(_xll.Turner.GasRateStd(_xll.Turner.GasVelocityWater($C$2, $C163, $C$1), F$5, $C163, $C$1, $C$2)*1000000)/$D163</f>
        <v>58.520257117035413</v>
      </c>
      <c r="G163" s="13" cm="1">
        <f t="array" ref="G163">(_xll.Turner.GasRateStd(_xll.Turner.GasVelocityWater($C$2, $C163, $C$1), G$5, $C163, $C$1, $C$2)*1000000)/$D163</f>
        <v>79.652572187075975</v>
      </c>
      <c r="H163" s="13" cm="1">
        <f t="array" ref="H163">(_xll.Turner.GasRateStd(_xll.Turner.GasVelocityWater($C$2, $C163, $C$1), H$5, $C163, $C$1, $C$2)*1000000)/$D163</f>
        <v>93.892501418887903</v>
      </c>
      <c r="I163" s="13" cm="1">
        <f t="array" ref="I163">(_xll.Turner.GasRateStd(_xll.Turner.GasVelocityWater($C$2, $C163, $C$1), I$5, $C163, $C$1, $C$2)*1000000)/$D163</f>
        <v>146.70703346701234</v>
      </c>
      <c r="J163" s="13" cm="1">
        <f t="array" ref="J163">(_xll.Turner.GasRateStd(_xll.Turner.GasVelocityWater($C$2, $C163, $C$1), J$5, $C163, $C$1, $C$2)*1000000)/$D163</f>
        <v>214.98066677022032</v>
      </c>
      <c r="K163" s="13" cm="1">
        <f t="array" ref="K163">(_xll.Turner.GasRateStd(_xll.Turner.GasVelocityWater($C$2, $C163, $C$1), K$5, $C163, $C$1, $C$2)*1000000)/$D163</f>
        <v>318.6102887483039</v>
      </c>
      <c r="L163" s="13" cm="1">
        <f t="array" ref="L163">(_xll.Turner.GasRateStd(_xll.Turner.GasVelocityWater($C$2, $C163, $C$1), L$5, $C163, $C$1, $C$2)*1000000)/$D163</f>
        <v>526.68231405331869</v>
      </c>
      <c r="M163" s="13" cm="1">
        <f t="array" ref="M163">(_xll.Turner.GasRateStd(_xll.Turner.GasVelocityWater($C$2, $C163, $C$1), M$5, $C163, $C$1, $C$2)*1000000)/$D163</f>
        <v>786.77234568458698</v>
      </c>
      <c r="N163" s="13" cm="1">
        <f t="array" ref="N163">(_xll.Turner.GasRateStd(_xll.Turner.GasVelocityWater($C$2, $C163, $C$1), N$5, $C163, $C$1, $C$2)*1000000)/$D163</f>
        <v>1274.4411549932156</v>
      </c>
    </row>
    <row r="164" spans="3:14" hidden="1" x14ac:dyDescent="0.45">
      <c r="C164" s="35">
        <f t="shared" si="18"/>
        <v>514.70000000000005</v>
      </c>
      <c r="D164" s="33">
        <f t="shared" si="17"/>
        <v>5000</v>
      </c>
      <c r="E164" s="13" cm="1">
        <f t="array" ref="E164">(_xll.Turner.GasRateStd(_xll.Turner.GasVelocityWater($C$2, $C164, $C$1), E$5, $C164, $C$1, $C$2)*1000000)/$D164</f>
        <v>57.396285770095396</v>
      </c>
      <c r="F164" s="13" cm="1">
        <f t="array" ref="F164">(_xll.Turner.GasRateStd(_xll.Turner.GasVelocityWater($C$2, $C164, $C$1), F$5, $C164, $C$1, $C$2)*1000000)/$D164</f>
        <v>82.650651508937358</v>
      </c>
      <c r="G164" s="13" cm="1">
        <f t="array" ref="G164">(_xll.Turner.GasRateStd(_xll.Turner.GasVelocityWater($C$2, $C164, $C$1), G$5, $C164, $C$1, $C$2)*1000000)/$D164</f>
        <v>112.49672010938696</v>
      </c>
      <c r="H164" s="13" cm="1">
        <f t="array" ref="H164">(_xll.Turner.GasRateStd(_xll.Turner.GasVelocityWater($C$2, $C164, $C$1), H$5, $C164, $C$1, $C$2)*1000000)/$D164</f>
        <v>132.60837864322838</v>
      </c>
      <c r="I164" s="13" cm="1">
        <f t="array" ref="I164">(_xll.Turner.GasRateStd(_xll.Turner.GasVelocityWater($C$2, $C164, $C$1), I$5, $C164, $C$1, $C$2)*1000000)/$D164</f>
        <v>207.20059163004436</v>
      </c>
      <c r="J164" s="13" cm="1">
        <f t="array" ref="J164">(_xll.Turner.GasRateStd(_xll.Turner.GasVelocityWater($C$2, $C164, $C$1), J$5, $C164, $C$1, $C$2)*1000000)/$D164</f>
        <v>303.62635172380459</v>
      </c>
      <c r="K164" s="13" cm="1">
        <f t="array" ref="K164">(_xll.Turner.GasRateStd(_xll.Turner.GasVelocityWater($C$2, $C164, $C$1), K$5, $C164, $C$1, $C$2)*1000000)/$D164</f>
        <v>449.98688043754782</v>
      </c>
      <c r="L164" s="13" cm="1">
        <f t="array" ref="L164">(_xll.Turner.GasRateStd(_xll.Turner.GasVelocityWater($C$2, $C164, $C$1), L$5, $C164, $C$1, $C$2)*1000000)/$D164</f>
        <v>743.85586358043622</v>
      </c>
      <c r="M164" s="13" cm="1">
        <f t="array" ref="M164">(_xll.Turner.GasRateStd(_xll.Turner.GasVelocityWater($C$2, $C164, $C$1), M$5, $C164, $C$1, $C$2)*1000000)/$D164</f>
        <v>1111.1920925090465</v>
      </c>
      <c r="N164" s="13" cm="1">
        <f t="array" ref="N164">(_xll.Turner.GasRateStd(_xll.Turner.GasVelocityWater($C$2, $C164, $C$1), N$5, $C164, $C$1, $C$2)*1000000)/$D164</f>
        <v>1799.9475217501913</v>
      </c>
    </row>
    <row r="165" spans="3:14" hidden="1" x14ac:dyDescent="0.45">
      <c r="C165" s="12">
        <f t="shared" si="18"/>
        <v>1014.7</v>
      </c>
      <c r="D165" s="33">
        <f t="shared" si="17"/>
        <v>5000</v>
      </c>
      <c r="E165" s="13" cm="1">
        <f t="array" ref="E165">(_xll.Turner.GasRateStd(_xll.Turner.GasVelocityWater($C$2, $C165, $C$1), E$5, $C165, $C$1, $C$2)*1000000)/$D165</f>
        <v>82.471430188001847</v>
      </c>
      <c r="F165" s="13" cm="1">
        <f t="array" ref="F165">(_xll.Turner.GasRateStd(_xll.Turner.GasVelocityWater($C$2, $C165, $C$1), F$5, $C165, $C$1, $C$2)*1000000)/$D165</f>
        <v>118.75885947072264</v>
      </c>
      <c r="G165" s="13" cm="1">
        <f t="array" ref="G165">(_xll.Turner.GasRateStd(_xll.Turner.GasVelocityWater($C$2, $C165, $C$1), G$5, $C165, $C$1, $C$2)*1000000)/$D165</f>
        <v>161.64400316848361</v>
      </c>
      <c r="H165" s="13" cm="1">
        <f t="array" ref="H165">(_xll.Turner.GasRateStd(_xll.Turner.GasVelocityWater($C$2, $C165, $C$1), H$5, $C165, $C$1, $C$2)*1000000)/$D165</f>
        <v>190.54199230635945</v>
      </c>
      <c r="I165" s="13" cm="1">
        <f t="array" ref="I165">(_xll.Turner.GasRateStd(_xll.Turner.GasVelocityWater($C$2, $C165, $C$1), I$5, $C165, $C$1, $C$2)*1000000)/$D165</f>
        <v>297.7218629786866</v>
      </c>
      <c r="J165" s="13" cm="1">
        <f t="array" ref="J165">(_xll.Turner.GasRateStd(_xll.Turner.GasVelocityWater($C$2, $C165, $C$1), J$5, $C165, $C$1, $C$2)*1000000)/$D165</f>
        <v>436.27386569452966</v>
      </c>
      <c r="K165" s="13" cm="1">
        <f t="array" ref="K165">(_xll.Turner.GasRateStd(_xll.Turner.GasVelocityWater($C$2, $C165, $C$1), K$5, $C165, $C$1, $C$2)*1000000)/$D165</f>
        <v>646.57601267393443</v>
      </c>
      <c r="L165" s="13" cm="1">
        <f t="array" ref="L165">(_xll.Turner.GasRateStd(_xll.Turner.GasVelocityWater($C$2, $C165, $C$1), L$5, $C165, $C$1, $C$2)*1000000)/$D165</f>
        <v>1068.8297352365039</v>
      </c>
      <c r="M165" s="13" cm="1">
        <f t="array" ref="M165">(_xll.Turner.GasRateStd(_xll.Turner.GasVelocityWater($C$2, $C165, $C$1), M$5, $C165, $C$1, $C$2)*1000000)/$D165</f>
        <v>1596.646888439715</v>
      </c>
      <c r="N165" s="13" cm="1">
        <f t="array" ref="N165">(_xll.Turner.GasRateStd(_xll.Turner.GasVelocityWater($C$2, $C165, $C$1), N$5, $C165, $C$1, $C$2)*1000000)/$D165</f>
        <v>2586.3040506957377</v>
      </c>
    </row>
    <row r="166" spans="3:14" hidden="1" x14ac:dyDescent="0.45">
      <c r="C166" s="35">
        <f t="shared" si="18"/>
        <v>2014.7</v>
      </c>
      <c r="D166" s="33">
        <f t="shared" si="17"/>
        <v>5000</v>
      </c>
      <c r="E166" s="13" cm="1">
        <f t="array" ref="E166">(_xll.Turner.GasRateStd(_xll.Turner.GasVelocityWater($C$2, $C166, $C$1), E$5, $C166, $C$1, $C$2)*1000000)/$D166</f>
        <v>118.75884753535125</v>
      </c>
      <c r="F166" s="13" cm="1">
        <f t="array" ref="F166">(_xll.Turner.GasRateStd(_xll.Turner.GasVelocityWater($C$2, $C166, $C$1), F$5, $C166, $C$1, $C$2)*1000000)/$D166</f>
        <v>171.01274045090577</v>
      </c>
      <c r="G166" s="13" cm="1">
        <f t="array" ref="G166">(_xll.Turner.GasRateStd(_xll.Turner.GasVelocityWater($C$2, $C166, $C$1), G$5, $C166, $C$1, $C$2)*1000000)/$D166</f>
        <v>232.76734116928847</v>
      </c>
      <c r="H166" s="13" cm="1">
        <f t="array" ref="H166">(_xll.Turner.GasRateStd(_xll.Turner.GasVelocityWater($C$2, $C166, $C$1), H$5, $C166, $C$1, $C$2)*1000000)/$D166</f>
        <v>274.38044134567542</v>
      </c>
      <c r="I166" s="13" cm="1">
        <f t="array" ref="I166">(_xll.Turner.GasRateStd(_xll.Turner.GasVelocityWater($C$2, $C166, $C$1), I$5, $C166, $C$1, $C$2)*1000000)/$D166</f>
        <v>428.71943960261785</v>
      </c>
      <c r="J166" s="13" cm="1">
        <f t="array" ref="J166">(_xll.Turner.GasRateStd(_xll.Turner.GasVelocityWater($C$2, $C166, $C$1), J$5, $C166, $C$1, $C$2)*1000000)/$D166</f>
        <v>628.23430346200803</v>
      </c>
      <c r="K166" s="13" cm="1">
        <f t="array" ref="K166">(_xll.Turner.GasRateStd(_xll.Turner.GasVelocityWater($C$2, $C166, $C$1), K$5, $C166, $C$1, $C$2)*1000000)/$D166</f>
        <v>931.06936467715389</v>
      </c>
      <c r="L166" s="13" cm="1">
        <f t="array" ref="L166">(_xll.Turner.GasRateStd(_xll.Turner.GasVelocityWater($C$2, $C166, $C$1), L$5, $C166, $C$1, $C$2)*1000000)/$D166</f>
        <v>1539.1146640581521</v>
      </c>
      <c r="M166" s="13" cm="1">
        <f t="array" ref="M166">(_xll.Turner.GasRateStd(_xll.Turner.GasVelocityWater($C$2, $C166, $C$1), M$5, $C166, $C$1, $C$2)*1000000)/$D166</f>
        <v>2299.171288284399</v>
      </c>
      <c r="N166" s="13" cm="1">
        <f t="array" ref="N166">(_xll.Turner.GasRateStd(_xll.Turner.GasVelocityWater($C$2, $C166, $C$1), N$5, $C166, $C$1, $C$2)*1000000)/$D166</f>
        <v>3724.2774587086155</v>
      </c>
    </row>
    <row r="167" spans="3:14" hidden="1" x14ac:dyDescent="0.45">
      <c r="C167" s="12">
        <f t="shared" si="18"/>
        <v>3014.7</v>
      </c>
      <c r="D167" s="33">
        <f t="shared" si="17"/>
        <v>5000</v>
      </c>
      <c r="E167" s="13" cm="1">
        <f t="array" ref="E167">(_xll.Turner.GasRateStd(_xll.Turner.GasVelocityWater($C$2, $C167, $C$1), E$5, $C167, $C$1, $C$2)*1000000)/$D167</f>
        <v>142.01531406746352</v>
      </c>
      <c r="F167" s="13" cm="1">
        <f t="array" ref="F167">(_xll.Turner.GasRateStd(_xll.Turner.GasVelocityWater($C$2, $C167, $C$1), F$5, $C167, $C$1, $C$2)*1000000)/$D167</f>
        <v>204.5020522571474</v>
      </c>
      <c r="G167" s="13" cm="1">
        <f t="array" ref="G167">(_xll.Turner.GasRateStd(_xll.Turner.GasVelocityWater($C$2, $C167, $C$1), G$5, $C167, $C$1, $C$2)*1000000)/$D167</f>
        <v>278.35001557222847</v>
      </c>
      <c r="H167" s="13" cm="1">
        <f t="array" ref="H167">(_xll.Turner.GasRateStd(_xll.Turner.GasVelocityWater($C$2, $C167, $C$1), H$5, $C167, $C$1, $C$2)*1000000)/$D167</f>
        <v>328.11218162146758</v>
      </c>
      <c r="I167" s="13" cm="1">
        <f t="array" ref="I167">(_xll.Turner.GasRateStd(_xll.Turner.GasVelocityWater($C$2, $C167, $C$1), I$5, $C167, $C$1, $C$2)*1000000)/$D167</f>
        <v>512.67528378354314</v>
      </c>
      <c r="J167" s="13" cm="1">
        <f t="array" ref="J167">(_xll.Turner.GasRateStd(_xll.Turner.GasVelocityWater($C$2, $C167, $C$1), J$5, $C167, $C$1, $C$2)*1000000)/$D167</f>
        <v>751.26101141688184</v>
      </c>
      <c r="K167" s="13" cm="1">
        <f t="array" ref="K167">(_xll.Turner.GasRateStd(_xll.Turner.GasVelocityWater($C$2, $C167, $C$1), K$5, $C167, $C$1, $C$2)*1000000)/$D167</f>
        <v>1113.4000622889139</v>
      </c>
      <c r="L167" s="13" cm="1">
        <f t="array" ref="L167">(_xll.Turner.GasRateStd(_xll.Turner.GasVelocityWater($C$2, $C167, $C$1), L$5, $C167, $C$1, $C$2)*1000000)/$D167</f>
        <v>1840.5184703143268</v>
      </c>
      <c r="M167" s="13" cm="1">
        <f t="array" ref="M167">(_xll.Turner.GasRateStd(_xll.Turner.GasVelocityWater($C$2, $C167, $C$1), M$5, $C167, $C$1, $C$2)*1000000)/$D167</f>
        <v>2749.4164803460931</v>
      </c>
      <c r="N167" s="13" cm="1">
        <f t="array" ref="N167">(_xll.Turner.GasRateStd(_xll.Turner.GasVelocityWater($C$2, $C167, $C$1), N$5, $C167, $C$1, $C$2)*1000000)/$D167</f>
        <v>4453.6002491556555</v>
      </c>
    </row>
    <row r="168" spans="3:14" hidden="1" x14ac:dyDescent="0.45">
      <c r="C168" s="35">
        <f t="shared" si="18"/>
        <v>4014.7</v>
      </c>
      <c r="D168" s="33">
        <f t="shared" si="17"/>
        <v>5000</v>
      </c>
      <c r="E168" s="13" cm="1">
        <f t="array" ref="E168">(_xll.Turner.GasRateStd(_xll.Turner.GasVelocityWater($C$2, $C168, $C$1), E$5, $C168, $C$1, $C$2)*1000000)/$D168</f>
        <v>156.25624119234891</v>
      </c>
      <c r="F168" s="13" cm="1">
        <f t="array" ref="F168">(_xll.Turner.GasRateStd(_xll.Turner.GasVelocityWater($C$2, $C168, $C$1), F$5, $C168, $C$1, $C$2)*1000000)/$D168</f>
        <v>225.00898731698246</v>
      </c>
      <c r="G168" s="13" cm="1">
        <f t="array" ref="G168">(_xll.Turner.GasRateStd(_xll.Turner.GasVelocityWater($C$2, $C168, $C$1), G$5, $C168, $C$1, $C$2)*1000000)/$D168</f>
        <v>306.2622327370039</v>
      </c>
      <c r="H168" s="13" cm="1">
        <f t="array" ref="H168">(_xll.Turner.GasRateStd(_xll.Turner.GasVelocityWater($C$2, $C168, $C$1), H$5, $C168, $C$1, $C$2)*1000000)/$D168</f>
        <v>361.01441965080295</v>
      </c>
      <c r="I168" s="13" cm="1">
        <f t="array" ref="I168">(_xll.Turner.GasRateStd(_xll.Turner.GasVelocityWater($C$2, $C168, $C$1), I$5, $C168, $C$1, $C$2)*1000000)/$D168</f>
        <v>564.08503070437951</v>
      </c>
      <c r="J168" s="13" cm="1">
        <f t="array" ref="J168">(_xll.Turner.GasRateStd(_xll.Turner.GasVelocityWater($C$2, $C168, $C$1), J$5, $C168, $C$1, $C$2)*1000000)/$D168</f>
        <v>826.59551590752574</v>
      </c>
      <c r="K168" s="13" cm="1">
        <f t="array" ref="K168">(_xll.Turner.GasRateStd(_xll.Turner.GasVelocityWater($C$2, $C168, $C$1), K$5, $C168, $C$1, $C$2)*1000000)/$D168</f>
        <v>1225.0489309480156</v>
      </c>
      <c r="L168" s="13" cm="1">
        <f t="array" ref="L168">(_xll.Turner.GasRateStd(_xll.Turner.GasVelocityWater($C$2, $C168, $C$1), L$5, $C168, $C$1, $C$2)*1000000)/$D168</f>
        <v>2025.0808858528417</v>
      </c>
      <c r="M168" s="13" cm="1">
        <f t="array" ref="M168">(_xll.Turner.GasRateStd(_xll.Turner.GasVelocityWater($C$2, $C168, $C$1), M$5, $C168, $C$1, $C$2)*1000000)/$D168</f>
        <v>3025.1208294838748</v>
      </c>
      <c r="N168" s="13" cm="1">
        <f t="array" ref="N168">(_xll.Turner.GasRateStd(_xll.Turner.GasVelocityWater($C$2, $C168, $C$1), N$5, $C168, $C$1, $C$2)*1000000)/$D168</f>
        <v>4900.1957237920624</v>
      </c>
    </row>
    <row r="169" spans="3:14" hidden="1" x14ac:dyDescent="0.45">
      <c r="C169" s="12">
        <f t="shared" si="18"/>
        <v>5014.7</v>
      </c>
      <c r="D169" s="33">
        <f t="shared" si="17"/>
        <v>5000</v>
      </c>
      <c r="E169" s="13" cm="1">
        <f t="array" ref="E169">(_xll.Turner.GasRateStd(_xll.Turner.GasVelocityWater($C$2, $C169, $C$1), E$5, $C169, $C$1, $C$2)*1000000)/$D169</f>
        <v>165.40655893371709</v>
      </c>
      <c r="F169" s="13" cm="1">
        <f t="array" ref="F169">(_xll.Turner.GasRateStd(_xll.Turner.GasVelocityWater($C$2, $C169, $C$1), F$5, $C169, $C$1, $C$2)*1000000)/$D169</f>
        <v>238.18544486455261</v>
      </c>
      <c r="G169" s="13" cm="1">
        <f t="array" ref="G169">(_xll.Turner.GasRateStd(_xll.Turner.GasVelocityWater($C$2, $C169, $C$1), G$5, $C169, $C$1, $C$2)*1000000)/$D169</f>
        <v>324.19685551008547</v>
      </c>
      <c r="H169" s="13" cm="1">
        <f t="array" ref="H169">(_xll.Turner.GasRateStd(_xll.Turner.GasVelocityWater($C$2, $C169, $C$1), H$5, $C169, $C$1, $C$2)*1000000)/$D169</f>
        <v>382.15531376045993</v>
      </c>
      <c r="I169" s="13" cm="1">
        <f t="array" ref="I169">(_xll.Turner.GasRateStd(_xll.Turner.GasVelocityWater($C$2, $C169, $C$1), I$5, $C169, $C$1, $C$2)*1000000)/$D169</f>
        <v>597.1176777507186</v>
      </c>
      <c r="J169" s="13" cm="1">
        <f t="array" ref="J169">(_xll.Turner.GasRateStd(_xll.Turner.GasVelocityWater($C$2, $C169, $C$1), J$5, $C169, $C$1, $C$2)*1000000)/$D169</f>
        <v>875.00069675936322</v>
      </c>
      <c r="K169" s="13" cm="1">
        <f t="array" ref="K169">(_xll.Turner.GasRateStd(_xll.Turner.GasVelocityWater($C$2, $C169, $C$1), K$5, $C169, $C$1, $C$2)*1000000)/$D169</f>
        <v>1296.7874220403419</v>
      </c>
      <c r="L169" s="13" cm="1">
        <f t="array" ref="L169">(_xll.Turner.GasRateStd(_xll.Turner.GasVelocityWater($C$2, $C169, $C$1), L$5, $C169, $C$1, $C$2)*1000000)/$D169</f>
        <v>2143.6690037809735</v>
      </c>
      <c r="M169" s="13" cm="1">
        <f t="array" ref="M169">(_xll.Turner.GasRateStd(_xll.Turner.GasVelocityWater($C$2, $C169, $C$1), M$5, $C169, $C$1, $C$2)*1000000)/$D169</f>
        <v>3202.2709809567623</v>
      </c>
      <c r="N169" s="13" cm="1">
        <f t="array" ref="N169">(_xll.Turner.GasRateStd(_xll.Turner.GasVelocityWater($C$2, $C169, $C$1), N$5, $C169, $C$1, $C$2)*1000000)/$D169</f>
        <v>5187.1496881613675</v>
      </c>
    </row>
    <row r="170" spans="3:14" x14ac:dyDescent="0.45">
      <c r="C170" s="35">
        <f t="shared" si="18"/>
        <v>64.7</v>
      </c>
      <c r="D170" s="33">
        <f t="shared" si="17"/>
        <v>6000</v>
      </c>
      <c r="E170" s="13" cm="1">
        <f t="array" ref="E170">(_xll.Turner.GasRateStd(_xll.Turner.GasVelocityWater($C$2, $C170, $C$1), E$5, $C170, $C$1, $C$2)*1000000)/$D170</f>
        <v>16.569471641552234</v>
      </c>
      <c r="F170" s="13" cm="1">
        <f t="array" ref="F170">(_xll.Turner.GasRateStd(_xll.Turner.GasVelocityWater($C$2, $C170, $C$1), F$5, $C170, $C$1, $C$2)*1000000)/$D170</f>
        <v>23.860039163835214</v>
      </c>
      <c r="G170" s="13" cm="1">
        <f t="array" ref="G170">(_xll.Turner.GasRateStd(_xll.Turner.GasVelocityWater($C$2, $C170, $C$1), G$5, $C170, $C$1, $C$2)*1000000)/$D170</f>
        <v>32.476164417442384</v>
      </c>
      <c r="H170" s="13" cm="1">
        <f t="array" ref="H170">(_xll.Turner.GasRateStd(_xll.Turner.GasVelocityWater($C$2, $C170, $C$1), H$5, $C170, $C$1, $C$2)*1000000)/$D170</f>
        <v>38.282107280642279</v>
      </c>
      <c r="I170" s="13" cm="1">
        <f t="array" ref="I170">(_xll.Turner.GasRateStd(_xll.Turner.GasVelocityWater($C$2, $C170, $C$1), I$5, $C170, $C$1, $C$2)*1000000)/$D170</f>
        <v>59.815792626003571</v>
      </c>
      <c r="J170" s="13" cm="1">
        <f t="array" ref="J170">(_xll.Turner.GasRateStd(_xll.Turner.GasVelocityWater($C$2, $C170, $C$1), J$5, $C170, $C$1, $C$2)*1000000)/$D170</f>
        <v>87.652504983811312</v>
      </c>
      <c r="K170" s="13" cm="1">
        <f t="array" ref="K170">(_xll.Turner.GasRateStd(_xll.Turner.GasVelocityWater($C$2, $C170, $C$1), K$5, $C170, $C$1, $C$2)*1000000)/$D170</f>
        <v>129.90465766976953</v>
      </c>
      <c r="L170" s="13" cm="1">
        <f t="array" ref="L170">(_xll.Turner.GasRateStd(_xll.Turner.GasVelocityWater($C$2, $C170, $C$1), L$5, $C170, $C$1, $C$2)*1000000)/$D170</f>
        <v>214.74035247451698</v>
      </c>
      <c r="M170" s="13" cm="1">
        <f t="array" ref="M170">(_xll.Turner.GasRateStd(_xll.Turner.GasVelocityWater($C$2, $C170, $C$1), M$5, $C170, $C$1, $C$2)*1000000)/$D170</f>
        <v>320.78497098045119</v>
      </c>
      <c r="N170" s="13" cm="1">
        <f t="array" ref="N170">(_xll.Turner.GasRateStd(_xll.Turner.GasVelocityWater($C$2, $C170, $C$1), N$5, $C170, $C$1, $C$2)*1000000)/$D170</f>
        <v>519.61863067907814</v>
      </c>
    </row>
    <row r="171" spans="3:14" hidden="1" x14ac:dyDescent="0.45">
      <c r="C171" s="12">
        <f t="shared" si="18"/>
        <v>114.7</v>
      </c>
      <c r="D171" s="33">
        <f t="shared" si="17"/>
        <v>6000</v>
      </c>
      <c r="E171" s="13" cm="1">
        <f t="array" ref="E171">(_xll.Turner.GasRateStd(_xll.Turner.GasVelocityWater($C$2, $C171, $C$1), E$5, $C171, $C$1, $C$2)*1000000)/$D171</f>
        <v>22.119459077955785</v>
      </c>
      <c r="F171" s="13" cm="1">
        <f t="array" ref="F171">(_xll.Turner.GasRateStd(_xll.Turner.GasVelocityWater($C$2, $C171, $C$1), F$5, $C171, $C$1, $C$2)*1000000)/$D171</f>
        <v>31.852021072256331</v>
      </c>
      <c r="G171" s="13" cm="1">
        <f t="array" ref="G171">(_xll.Turner.GasRateStd(_xll.Turner.GasVelocityWater($C$2, $C171, $C$1), G$5, $C171, $C$1, $C$2)*1000000)/$D171</f>
        <v>43.35413979279334</v>
      </c>
      <c r="H171" s="13" cm="1">
        <f t="array" ref="H171">(_xll.Turner.GasRateStd(_xll.Turner.GasVelocityWater($C$2, $C171, $C$1), H$5, $C171, $C$1, $C$2)*1000000)/$D171</f>
        <v>51.104798253709056</v>
      </c>
      <c r="I171" s="13" cm="1">
        <f t="array" ref="I171">(_xll.Turner.GasRateStd(_xll.Turner.GasVelocityWater($C$2, $C171, $C$1), I$5, $C171, $C$1, $C$2)*1000000)/$D171</f>
        <v>79.851247271420377</v>
      </c>
      <c r="J171" s="13" cm="1">
        <f t="array" ref="J171">(_xll.Turner.GasRateStd(_xll.Turner.GasVelocityWater($C$2, $C171, $C$1), J$5, $C171, $C$1, $C$2)*1000000)/$D171</f>
        <v>117.01193852238612</v>
      </c>
      <c r="K171" s="13" cm="1">
        <f t="array" ref="K171">(_xll.Turner.GasRateStd(_xll.Turner.GasVelocityWater($C$2, $C171, $C$1), K$5, $C171, $C$1, $C$2)*1000000)/$D171</f>
        <v>173.41655917117336</v>
      </c>
      <c r="L171" s="13" cm="1">
        <f t="array" ref="L171">(_xll.Turner.GasRateStd(_xll.Turner.GasVelocityWater($C$2, $C171, $C$1), L$5, $C171, $C$1, $C$2)*1000000)/$D171</f>
        <v>286.668189650307</v>
      </c>
      <c r="M171" s="13" cm="1">
        <f t="array" ref="M171">(_xll.Turner.GasRateStd(_xll.Turner.GasVelocityWater($C$2, $C171, $C$1), M$5, $C171, $C$1, $C$2)*1000000)/$D171</f>
        <v>428.23272774922395</v>
      </c>
      <c r="N171" s="13" cm="1">
        <f t="array" ref="N171">(_xll.Turner.GasRateStd(_xll.Turner.GasVelocityWater($C$2, $C171, $C$1), N$5, $C171, $C$1, $C$2)*1000000)/$D171</f>
        <v>693.66623668469344</v>
      </c>
    </row>
    <row r="172" spans="3:14" hidden="1" x14ac:dyDescent="0.45">
      <c r="C172" s="35">
        <f t="shared" si="18"/>
        <v>264.7</v>
      </c>
      <c r="D172" s="33">
        <f t="shared" si="17"/>
        <v>6000</v>
      </c>
      <c r="E172" s="13" cm="1">
        <f t="array" ref="E172">(_xll.Turner.GasRateStd(_xll.Turner.GasVelocityWater($C$2, $C172, $C$1), E$5, $C172, $C$1, $C$2)*1000000)/$D172</f>
        <v>33.865889535321415</v>
      </c>
      <c r="F172" s="13" cm="1">
        <f t="array" ref="F172">(_xll.Turner.GasRateStd(_xll.Turner.GasVelocityWater($C$2, $C172, $C$1), F$5, $C172, $C$1, $C$2)*1000000)/$D172</f>
        <v>48.766880930862847</v>
      </c>
      <c r="G172" s="13" cm="1">
        <f t="array" ref="G172">(_xll.Turner.GasRateStd(_xll.Turner.GasVelocityWater($C$2, $C172, $C$1), G$5, $C172, $C$1, $C$2)*1000000)/$D172</f>
        <v>66.377143489229979</v>
      </c>
      <c r="H172" s="13" cm="1">
        <f t="array" ref="H172">(_xll.Turner.GasRateStd(_xll.Turner.GasVelocityWater($C$2, $C172, $C$1), H$5, $C172, $C$1, $C$2)*1000000)/$D172</f>
        <v>78.243751182406584</v>
      </c>
      <c r="I172" s="13" cm="1">
        <f t="array" ref="I172">(_xll.Turner.GasRateStd(_xll.Turner.GasVelocityWater($C$2, $C172, $C$1), I$5, $C172, $C$1, $C$2)*1000000)/$D172</f>
        <v>122.25586122251029</v>
      </c>
      <c r="J172" s="13" cm="1">
        <f t="array" ref="J172">(_xll.Turner.GasRateStd(_xll.Turner.GasVelocityWater($C$2, $C172, $C$1), J$5, $C172, $C$1, $C$2)*1000000)/$D172</f>
        <v>179.15055564185027</v>
      </c>
      <c r="K172" s="13" cm="1">
        <f t="array" ref="K172">(_xll.Turner.GasRateStd(_xll.Turner.GasVelocityWater($C$2, $C172, $C$1), K$5, $C172, $C$1, $C$2)*1000000)/$D172</f>
        <v>265.50857395691992</v>
      </c>
      <c r="L172" s="13" cm="1">
        <f t="array" ref="L172">(_xll.Turner.GasRateStd(_xll.Turner.GasVelocityWater($C$2, $C172, $C$1), L$5, $C172, $C$1, $C$2)*1000000)/$D172</f>
        <v>438.90192837776556</v>
      </c>
      <c r="M172" s="13" cm="1">
        <f t="array" ref="M172">(_xll.Turner.GasRateStd(_xll.Turner.GasVelocityWater($C$2, $C172, $C$1), M$5, $C172, $C$1, $C$2)*1000000)/$D172</f>
        <v>655.64362140382241</v>
      </c>
      <c r="N172" s="13" cm="1">
        <f t="array" ref="N172">(_xll.Turner.GasRateStd(_xll.Turner.GasVelocityWater($C$2, $C172, $C$1), N$5, $C172, $C$1, $C$2)*1000000)/$D172</f>
        <v>1062.0342958276797</v>
      </c>
    </row>
    <row r="173" spans="3:14" hidden="1" x14ac:dyDescent="0.45">
      <c r="C173" s="12">
        <f t="shared" si="18"/>
        <v>514.70000000000005</v>
      </c>
      <c r="D173" s="33">
        <f t="shared" si="17"/>
        <v>6000</v>
      </c>
      <c r="E173" s="13" cm="1">
        <f t="array" ref="E173">(_xll.Turner.GasRateStd(_xll.Turner.GasVelocityWater($C$2, $C173, $C$1), E$5, $C173, $C$1, $C$2)*1000000)/$D173</f>
        <v>47.830238141746165</v>
      </c>
      <c r="F173" s="13" cm="1">
        <f t="array" ref="F173">(_xll.Turner.GasRateStd(_xll.Turner.GasVelocityWater($C$2, $C173, $C$1), F$5, $C173, $C$1, $C$2)*1000000)/$D173</f>
        <v>68.87554292411447</v>
      </c>
      <c r="G173" s="13" cm="1">
        <f t="array" ref="G173">(_xll.Turner.GasRateStd(_xll.Turner.GasVelocityWater($C$2, $C173, $C$1), G$5, $C173, $C$1, $C$2)*1000000)/$D173</f>
        <v>93.747266757822459</v>
      </c>
      <c r="H173" s="13" cm="1">
        <f t="array" ref="H173">(_xll.Turner.GasRateStd(_xll.Turner.GasVelocityWater($C$2, $C173, $C$1), H$5, $C173, $C$1, $C$2)*1000000)/$D173</f>
        <v>110.50698220269031</v>
      </c>
      <c r="I173" s="13" cm="1">
        <f t="array" ref="I173">(_xll.Turner.GasRateStd(_xll.Turner.GasVelocityWater($C$2, $C173, $C$1), I$5, $C173, $C$1, $C$2)*1000000)/$D173</f>
        <v>172.66715969170363</v>
      </c>
      <c r="J173" s="13" cm="1">
        <f t="array" ref="J173">(_xll.Turner.GasRateStd(_xll.Turner.GasVelocityWater($C$2, $C173, $C$1), J$5, $C173, $C$1, $C$2)*1000000)/$D173</f>
        <v>253.02195976983717</v>
      </c>
      <c r="K173" s="13" cm="1">
        <f t="array" ref="K173">(_xll.Turner.GasRateStd(_xll.Turner.GasVelocityWater($C$2, $C173, $C$1), K$5, $C173, $C$1, $C$2)*1000000)/$D173</f>
        <v>374.98906703128984</v>
      </c>
      <c r="L173" s="13" cm="1">
        <f t="array" ref="L173">(_xll.Turner.GasRateStd(_xll.Turner.GasVelocityWater($C$2, $C173, $C$1), L$5, $C173, $C$1, $C$2)*1000000)/$D173</f>
        <v>619.87988631703013</v>
      </c>
      <c r="M173" s="13" cm="1">
        <f t="array" ref="M173">(_xll.Turner.GasRateStd(_xll.Turner.GasVelocityWater($C$2, $C173, $C$1), M$5, $C173, $C$1, $C$2)*1000000)/$D173</f>
        <v>925.99341042420542</v>
      </c>
      <c r="N173" s="13" cm="1">
        <f t="array" ref="N173">(_xll.Turner.GasRateStd(_xll.Turner.GasVelocityWater($C$2, $C173, $C$1), N$5, $C173, $C$1, $C$2)*1000000)/$D173</f>
        <v>1499.9562681251593</v>
      </c>
    </row>
    <row r="174" spans="3:14" hidden="1" x14ac:dyDescent="0.45">
      <c r="C174" s="12">
        <f t="shared" si="18"/>
        <v>1014.7</v>
      </c>
      <c r="D174" s="33">
        <f t="shared" si="17"/>
        <v>6000</v>
      </c>
      <c r="E174" s="13" cm="1">
        <f t="array" ref="E174">(_xll.Turner.GasRateStd(_xll.Turner.GasVelocityWater($C$2, $C174, $C$1), E$5, $C174, $C$1, $C$2)*1000000)/$D174</f>
        <v>68.726191823334872</v>
      </c>
      <c r="F174" s="13" cm="1">
        <f t="array" ref="F174">(_xll.Turner.GasRateStd(_xll.Turner.GasVelocityWater($C$2, $C174, $C$1), F$5, $C174, $C$1, $C$2)*1000000)/$D174</f>
        <v>98.965716225602193</v>
      </c>
      <c r="G174" s="13" cm="1">
        <f t="array" ref="G174">(_xll.Turner.GasRateStd(_xll.Turner.GasVelocityWater($C$2, $C174, $C$1), G$5, $C174, $C$1, $C$2)*1000000)/$D174</f>
        <v>134.70333597373636</v>
      </c>
      <c r="H174" s="13" cm="1">
        <f t="array" ref="H174">(_xll.Turner.GasRateStd(_xll.Turner.GasVelocityWater($C$2, $C174, $C$1), H$5, $C174, $C$1, $C$2)*1000000)/$D174</f>
        <v>158.78499358863286</v>
      </c>
      <c r="I174" s="13" cm="1">
        <f t="array" ref="I174">(_xll.Turner.GasRateStd(_xll.Turner.GasVelocityWater($C$2, $C174, $C$1), I$5, $C174, $C$1, $C$2)*1000000)/$D174</f>
        <v>248.10155248223884</v>
      </c>
      <c r="J174" s="13" cm="1">
        <f t="array" ref="J174">(_xll.Turner.GasRateStd(_xll.Turner.GasVelocityWater($C$2, $C174, $C$1), J$5, $C174, $C$1, $C$2)*1000000)/$D174</f>
        <v>363.56155474544136</v>
      </c>
      <c r="K174" s="13" cm="1">
        <f t="array" ref="K174">(_xll.Turner.GasRateStd(_xll.Turner.GasVelocityWater($C$2, $C174, $C$1), K$5, $C174, $C$1, $C$2)*1000000)/$D174</f>
        <v>538.81334389494543</v>
      </c>
      <c r="L174" s="13" cm="1">
        <f t="array" ref="L174">(_xll.Turner.GasRateStd(_xll.Turner.GasVelocityWater($C$2, $C174, $C$1), L$5, $C174, $C$1, $C$2)*1000000)/$D174</f>
        <v>890.69144603041991</v>
      </c>
      <c r="M174" s="13" cm="1">
        <f t="array" ref="M174">(_xll.Turner.GasRateStd(_xll.Turner.GasVelocityWater($C$2, $C174, $C$1), M$5, $C174, $C$1, $C$2)*1000000)/$D174</f>
        <v>1330.5390736997626</v>
      </c>
      <c r="N174" s="13" cm="1">
        <f t="array" ref="N174">(_xll.Turner.GasRateStd(_xll.Turner.GasVelocityWater($C$2, $C174, $C$1), N$5, $C174, $C$1, $C$2)*1000000)/$D174</f>
        <v>2155.2533755797817</v>
      </c>
    </row>
    <row r="175" spans="3:14" hidden="1" x14ac:dyDescent="0.45">
      <c r="C175" s="12">
        <f t="shared" si="18"/>
        <v>2014.7</v>
      </c>
      <c r="D175" s="33">
        <f t="shared" si="17"/>
        <v>6000</v>
      </c>
      <c r="E175" s="13" cm="1">
        <f t="array" ref="E175">(_xll.Turner.GasRateStd(_xll.Turner.GasVelocityWater($C$2, $C175, $C$1), E$5, $C175, $C$1, $C$2)*1000000)/$D175</f>
        <v>98.965706279459368</v>
      </c>
      <c r="F175" s="13" cm="1">
        <f t="array" ref="F175">(_xll.Turner.GasRateStd(_xll.Turner.GasVelocityWater($C$2, $C175, $C$1), F$5, $C175, $C$1, $C$2)*1000000)/$D175</f>
        <v>142.51061704242147</v>
      </c>
      <c r="G175" s="13" cm="1">
        <f t="array" ref="G175">(_xll.Turner.GasRateStd(_xll.Turner.GasVelocityWater($C$2, $C175, $C$1), G$5, $C175, $C$1, $C$2)*1000000)/$D175</f>
        <v>193.9727843077404</v>
      </c>
      <c r="H175" s="13" cm="1">
        <f t="array" ref="H175">(_xll.Turner.GasRateStd(_xll.Turner.GasVelocityWater($C$2, $C175, $C$1), H$5, $C175, $C$1, $C$2)*1000000)/$D175</f>
        <v>228.65036778806285</v>
      </c>
      <c r="I175" s="13" cm="1">
        <f t="array" ref="I175">(_xll.Turner.GasRateStd(_xll.Turner.GasVelocityWater($C$2, $C175, $C$1), I$5, $C175, $C$1, $C$2)*1000000)/$D175</f>
        <v>357.26619966884817</v>
      </c>
      <c r="J175" s="13" cm="1">
        <f t="array" ref="J175">(_xll.Turner.GasRateStd(_xll.Turner.GasVelocityWater($C$2, $C175, $C$1), J$5, $C175, $C$1, $C$2)*1000000)/$D175</f>
        <v>523.52858621834002</v>
      </c>
      <c r="K175" s="13" cm="1">
        <f t="array" ref="K175">(_xll.Turner.GasRateStd(_xll.Turner.GasVelocityWater($C$2, $C175, $C$1), K$5, $C175, $C$1, $C$2)*1000000)/$D175</f>
        <v>775.89113723096159</v>
      </c>
      <c r="L175" s="13" cm="1">
        <f t="array" ref="L175">(_xll.Turner.GasRateStd(_xll.Turner.GasVelocityWater($C$2, $C175, $C$1), L$5, $C175, $C$1, $C$2)*1000000)/$D175</f>
        <v>1282.5955533817933</v>
      </c>
      <c r="M175" s="13" cm="1">
        <f t="array" ref="M175">(_xll.Turner.GasRateStd(_xll.Turner.GasVelocityWater($C$2, $C175, $C$1), M$5, $C175, $C$1, $C$2)*1000000)/$D175</f>
        <v>1915.9760735703326</v>
      </c>
      <c r="N175" s="13" cm="1">
        <f t="array" ref="N175">(_xll.Turner.GasRateStd(_xll.Turner.GasVelocityWater($C$2, $C175, $C$1), N$5, $C175, $C$1, $C$2)*1000000)/$D175</f>
        <v>3103.5645489238464</v>
      </c>
    </row>
    <row r="176" spans="3:14" hidden="1" x14ac:dyDescent="0.45">
      <c r="C176" s="12">
        <f t="shared" si="18"/>
        <v>3014.7</v>
      </c>
      <c r="D176" s="33">
        <f t="shared" si="17"/>
        <v>6000</v>
      </c>
      <c r="E176" s="13" cm="1">
        <f t="array" ref="E176">(_xll.Turner.GasRateStd(_xll.Turner.GasVelocityWater($C$2, $C176, $C$1), E$5, $C176, $C$1, $C$2)*1000000)/$D176</f>
        <v>118.3460950562196</v>
      </c>
      <c r="F176" s="13" cm="1">
        <f t="array" ref="F176">(_xll.Turner.GasRateStd(_xll.Turner.GasVelocityWater($C$2, $C176, $C$1), F$5, $C176, $C$1, $C$2)*1000000)/$D176</f>
        <v>170.41837688095617</v>
      </c>
      <c r="G176" s="13" cm="1">
        <f t="array" ref="G176">(_xll.Turner.GasRateStd(_xll.Turner.GasVelocityWater($C$2, $C176, $C$1), G$5, $C176, $C$1, $C$2)*1000000)/$D176</f>
        <v>231.95834631019039</v>
      </c>
      <c r="H176" s="13" cm="1">
        <f t="array" ref="H176">(_xll.Turner.GasRateStd(_xll.Turner.GasVelocityWater($C$2, $C176, $C$1), H$5, $C176, $C$1, $C$2)*1000000)/$D176</f>
        <v>273.42681801788967</v>
      </c>
      <c r="I176" s="13" cm="1">
        <f t="array" ref="I176">(_xll.Turner.GasRateStd(_xll.Turner.GasVelocityWater($C$2, $C176, $C$1), I$5, $C176, $C$1, $C$2)*1000000)/$D176</f>
        <v>427.22940315295261</v>
      </c>
      <c r="J176" s="13" cm="1">
        <f t="array" ref="J176">(_xll.Turner.GasRateStd(_xll.Turner.GasVelocityWater($C$2, $C176, $C$1), J$5, $C176, $C$1, $C$2)*1000000)/$D176</f>
        <v>626.05084284740155</v>
      </c>
      <c r="K176" s="13" cm="1">
        <f t="array" ref="K176">(_xll.Turner.GasRateStd(_xll.Turner.GasVelocityWater($C$2, $C176, $C$1), K$5, $C176, $C$1, $C$2)*1000000)/$D176</f>
        <v>927.83338524076157</v>
      </c>
      <c r="L176" s="13" cm="1">
        <f t="array" ref="L176">(_xll.Turner.GasRateStd(_xll.Turner.GasVelocityWater($C$2, $C176, $C$1), L$5, $C176, $C$1, $C$2)*1000000)/$D176</f>
        <v>1533.7653919286058</v>
      </c>
      <c r="M176" s="13" cm="1">
        <f t="array" ref="M176">(_xll.Turner.GasRateStd(_xll.Turner.GasVelocityWater($C$2, $C176, $C$1), M$5, $C176, $C$1, $C$2)*1000000)/$D176</f>
        <v>2291.180400288411</v>
      </c>
      <c r="N176" s="13" cm="1">
        <f t="array" ref="N176">(_xll.Turner.GasRateStd(_xll.Turner.GasVelocityWater($C$2, $C176, $C$1), N$5, $C176, $C$1, $C$2)*1000000)/$D176</f>
        <v>3711.3335409630463</v>
      </c>
    </row>
    <row r="177" spans="3:14" hidden="1" x14ac:dyDescent="0.45">
      <c r="C177" s="12">
        <f t="shared" si="18"/>
        <v>4014.7</v>
      </c>
      <c r="D177" s="33">
        <f t="shared" si="17"/>
        <v>6000</v>
      </c>
      <c r="E177" s="13" cm="1">
        <f t="array" ref="E177">(_xll.Turner.GasRateStd(_xll.Turner.GasVelocityWater($C$2, $C177, $C$1), E$5, $C177, $C$1, $C$2)*1000000)/$D177</f>
        <v>130.21353432695742</v>
      </c>
      <c r="F177" s="13" cm="1">
        <f t="array" ref="F177">(_xll.Turner.GasRateStd(_xll.Turner.GasVelocityWater($C$2, $C177, $C$1), F$5, $C177, $C$1, $C$2)*1000000)/$D177</f>
        <v>187.50748943081871</v>
      </c>
      <c r="G177" s="13" cm="1">
        <f t="array" ref="G177">(_xll.Turner.GasRateStd(_xll.Turner.GasVelocityWater($C$2, $C177, $C$1), G$5, $C177, $C$1, $C$2)*1000000)/$D177</f>
        <v>255.21852728083655</v>
      </c>
      <c r="H177" s="13" cm="1">
        <f t="array" ref="H177">(_xll.Turner.GasRateStd(_xll.Turner.GasVelocityWater($C$2, $C177, $C$1), H$5, $C177, $C$1, $C$2)*1000000)/$D177</f>
        <v>300.84534970900245</v>
      </c>
      <c r="I177" s="13" cm="1">
        <f t="array" ref="I177">(_xll.Turner.GasRateStd(_xll.Turner.GasVelocityWater($C$2, $C177, $C$1), I$5, $C177, $C$1, $C$2)*1000000)/$D177</f>
        <v>470.07085892031631</v>
      </c>
      <c r="J177" s="13" cm="1">
        <f t="array" ref="J177">(_xll.Turner.GasRateStd(_xll.Turner.GasVelocityWater($C$2, $C177, $C$1), J$5, $C177, $C$1, $C$2)*1000000)/$D177</f>
        <v>688.82959658960476</v>
      </c>
      <c r="K177" s="13" cm="1">
        <f t="array" ref="K177">(_xll.Turner.GasRateStd(_xll.Turner.GasVelocityWater($C$2, $C177, $C$1), K$5, $C177, $C$1, $C$2)*1000000)/$D177</f>
        <v>1020.8741091233462</v>
      </c>
      <c r="L177" s="13" cm="1">
        <f t="array" ref="L177">(_xll.Turner.GasRateStd(_xll.Turner.GasVelocityWater($C$2, $C177, $C$1), L$5, $C177, $C$1, $C$2)*1000000)/$D177</f>
        <v>1687.5674048773681</v>
      </c>
      <c r="M177" s="13" cm="1">
        <f t="array" ref="M177">(_xll.Turner.GasRateStd(_xll.Turner.GasVelocityWater($C$2, $C177, $C$1), M$5, $C177, $C$1, $C$2)*1000000)/$D177</f>
        <v>2520.9340245698959</v>
      </c>
      <c r="N177" s="13" cm="1">
        <f t="array" ref="N177">(_xll.Turner.GasRateStd(_xll.Turner.GasVelocityWater($C$2, $C177, $C$1), N$5, $C177, $C$1, $C$2)*1000000)/$D177</f>
        <v>4083.4964364933849</v>
      </c>
    </row>
    <row r="178" spans="3:14" hidden="1" x14ac:dyDescent="0.45">
      <c r="C178" s="12">
        <f t="shared" si="18"/>
        <v>5014.7</v>
      </c>
      <c r="D178" s="33">
        <f t="shared" si="17"/>
        <v>6000</v>
      </c>
      <c r="E178" s="13" cm="1">
        <f t="array" ref="E178">(_xll.Turner.GasRateStd(_xll.Turner.GasVelocityWater($C$2, $C178, $C$1), E$5, $C178, $C$1, $C$2)*1000000)/$D178</f>
        <v>137.83879911143092</v>
      </c>
      <c r="F178" s="13" cm="1">
        <f t="array" ref="F178">(_xll.Turner.GasRateStd(_xll.Turner.GasVelocityWater($C$2, $C178, $C$1), F$5, $C178, $C$1, $C$2)*1000000)/$D178</f>
        <v>198.48787072046051</v>
      </c>
      <c r="G178" s="13" cm="1">
        <f t="array" ref="G178">(_xll.Turner.GasRateStd(_xll.Turner.GasVelocityWater($C$2, $C178, $C$1), G$5, $C178, $C$1, $C$2)*1000000)/$D178</f>
        <v>270.1640462584046</v>
      </c>
      <c r="H178" s="13" cm="1">
        <f t="array" ref="H178">(_xll.Turner.GasRateStd(_xll.Turner.GasVelocityWater($C$2, $C178, $C$1), H$5, $C178, $C$1, $C$2)*1000000)/$D178</f>
        <v>318.46276146704997</v>
      </c>
      <c r="I178" s="13" cm="1">
        <f t="array" ref="I178">(_xll.Turner.GasRateStd(_xll.Turner.GasVelocityWater($C$2, $C178, $C$1), I$5, $C178, $C$1, $C$2)*1000000)/$D178</f>
        <v>497.59806479226552</v>
      </c>
      <c r="J178" s="13" cm="1">
        <f t="array" ref="J178">(_xll.Turner.GasRateStd(_xll.Turner.GasVelocityWater($C$2, $C178, $C$1), J$5, $C178, $C$1, $C$2)*1000000)/$D178</f>
        <v>729.16724729946941</v>
      </c>
      <c r="K178" s="13" cm="1">
        <f t="array" ref="K178">(_xll.Turner.GasRateStd(_xll.Turner.GasVelocityWater($C$2, $C178, $C$1), K$5, $C178, $C$1, $C$2)*1000000)/$D178</f>
        <v>1080.6561850336184</v>
      </c>
      <c r="L178" s="13" cm="1">
        <f t="array" ref="L178">(_xll.Turner.GasRateStd(_xll.Turner.GasVelocityWater($C$2, $C178, $C$1), L$5, $C178, $C$1, $C$2)*1000000)/$D178</f>
        <v>1786.3908364841448</v>
      </c>
      <c r="M178" s="13" cm="1">
        <f t="array" ref="M178">(_xll.Turner.GasRateStd(_xll.Turner.GasVelocityWater($C$2, $C178, $C$1), M$5, $C178, $C$1, $C$2)*1000000)/$D178</f>
        <v>2668.5591507973018</v>
      </c>
      <c r="N178" s="13" cm="1">
        <f t="array" ref="N178">(_xll.Turner.GasRateStd(_xll.Turner.GasVelocityWater($C$2, $C178, $C$1), N$5, $C178, $C$1, $C$2)*1000000)/$D178</f>
        <v>4322.6247401344735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C492-BF79-4A51-8431-F3397D99C9DD}">
  <dimension ref="A2:X147"/>
  <sheetViews>
    <sheetView tabSelected="1" topLeftCell="S1" zoomScaleNormal="100" workbookViewId="0">
      <selection activeCell="X23" sqref="X23"/>
    </sheetView>
  </sheetViews>
  <sheetFormatPr defaultRowHeight="17.5" x14ac:dyDescent="0.45"/>
  <cols>
    <col min="3" max="10" width="9.42578125" customWidth="1"/>
    <col min="11" max="12" width="9.78515625" bestFit="1" customWidth="1"/>
    <col min="13" max="13" width="10.5" customWidth="1"/>
    <col min="15" max="15" width="9.78515625" bestFit="1" customWidth="1"/>
    <col min="19" max="20" width="9.78515625" bestFit="1" customWidth="1"/>
  </cols>
  <sheetData>
    <row r="2" spans="1:22" x14ac:dyDescent="0.45">
      <c r="B2" t="s">
        <v>118</v>
      </c>
      <c r="C2">
        <v>1.25</v>
      </c>
      <c r="D2">
        <v>1.5</v>
      </c>
      <c r="E2">
        <v>1.75</v>
      </c>
      <c r="F2">
        <v>1.9</v>
      </c>
      <c r="G2">
        <v>2.375</v>
      </c>
      <c r="H2">
        <v>2.875</v>
      </c>
      <c r="I2">
        <v>3.5</v>
      </c>
      <c r="J2">
        <v>4.5</v>
      </c>
      <c r="K2">
        <v>5.5</v>
      </c>
      <c r="L2">
        <v>7</v>
      </c>
    </row>
    <row r="3" spans="1:22" ht="35" x14ac:dyDescent="0.45">
      <c r="A3" t="s">
        <v>49</v>
      </c>
      <c r="B3" t="s">
        <v>107</v>
      </c>
      <c r="C3" s="6" t="str">
        <f>C$2&amp;""" "&amp;$A4-14.7&amp;"psig"</f>
        <v>1.25" 50psig</v>
      </c>
      <c r="D3" s="6" t="str">
        <f>D$2&amp;""" "&amp;$A4-14.7&amp;"psig"</f>
        <v>1.5" 50psig</v>
      </c>
      <c r="E3" s="6" t="str">
        <f>E$2&amp;""" "&amp;$A4-14.7&amp;"psig"</f>
        <v>1.75" 50psig</v>
      </c>
      <c r="F3" s="6" t="str">
        <f>F$2&amp;""" "&amp;$A4-14.7&amp;"psig"</f>
        <v>1.9" 50psig</v>
      </c>
      <c r="G3" s="6" t="str">
        <f>G$2&amp;""" "&amp;$A4-14.7&amp;"psig"</f>
        <v>2.375" 50psig</v>
      </c>
      <c r="H3" s="6" t="str">
        <f>H$2&amp;""" "&amp;$A4-14.7&amp;"psig"</f>
        <v>2.875" 50psig</v>
      </c>
      <c r="I3" s="6" t="str">
        <f>I$2&amp;""" "&amp;$A4-14.7&amp;"psig"</f>
        <v>3.5" 50psig</v>
      </c>
      <c r="J3" s="6" t="str">
        <f>J$2&amp;""" "&amp;$A4-14.7&amp;"psig"</f>
        <v>4.5" 50psig</v>
      </c>
      <c r="K3" s="6" t="str">
        <f>K$2&amp;""" "&amp;$A4-14.7&amp;"psig"</f>
        <v>5.5" 50psig</v>
      </c>
      <c r="L3" s="6" t="str">
        <f>L$2&amp;""" "&amp;$A4-14.7&amp;"psig"</f>
        <v>7" 50psig</v>
      </c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x14ac:dyDescent="0.45">
      <c r="A4">
        <v>64.7</v>
      </c>
      <c r="B4">
        <v>10</v>
      </c>
      <c r="C4">
        <v>9941.6829849313399</v>
      </c>
      <c r="D4">
        <v>14316.023498301129</v>
      </c>
      <c r="E4">
        <v>19485.698650465431</v>
      </c>
      <c r="F4">
        <v>22969.264368385368</v>
      </c>
      <c r="G4">
        <v>35889.47557560214</v>
      </c>
      <c r="H4">
        <v>52591.502990286783</v>
      </c>
      <c r="I4">
        <v>77942.794601861722</v>
      </c>
      <c r="J4">
        <v>128844.21148471019</v>
      </c>
      <c r="K4">
        <v>192470.98258827071</v>
      </c>
      <c r="L4">
        <v>311771.17840744689</v>
      </c>
      <c r="N4" s="36"/>
      <c r="O4" t="s">
        <v>44</v>
      </c>
      <c r="P4" t="s">
        <v>122</v>
      </c>
      <c r="Q4" t="s">
        <v>48</v>
      </c>
      <c r="R4" s="36"/>
      <c r="S4" s="36"/>
      <c r="T4" s="36"/>
      <c r="U4" s="36"/>
      <c r="V4" s="36"/>
    </row>
    <row r="5" spans="1:22" x14ac:dyDescent="0.45">
      <c r="A5">
        <v>64.7</v>
      </c>
      <c r="B5">
        <v>50</v>
      </c>
      <c r="C5">
        <v>1988.3365969862682</v>
      </c>
      <c r="D5">
        <v>2863.2046996602257</v>
      </c>
      <c r="E5">
        <v>3897.1397300930862</v>
      </c>
      <c r="F5">
        <v>4593.8528736770731</v>
      </c>
      <c r="G5">
        <v>7177.8951151204283</v>
      </c>
      <c r="H5">
        <v>10518.300598057358</v>
      </c>
      <c r="I5">
        <v>15588.558920372345</v>
      </c>
      <c r="J5">
        <v>25768.842296942039</v>
      </c>
      <c r="K5">
        <v>38494.196517654142</v>
      </c>
      <c r="L5">
        <v>62354.235681489379</v>
      </c>
      <c r="O5">
        <v>64.7</v>
      </c>
      <c r="P5" s="12">
        <v>35889.47557560214</v>
      </c>
      <c r="Q5" s="12">
        <f xml:space="preserve"> 4144.684425*O5^0.516754</f>
        <v>35750.613567361572</v>
      </c>
    </row>
    <row r="6" spans="1:22" x14ac:dyDescent="0.45">
      <c r="A6">
        <v>64.7</v>
      </c>
      <c r="B6">
        <v>100</v>
      </c>
      <c r="C6">
        <v>994.1682984931341</v>
      </c>
      <c r="D6">
        <v>1431.6023498301129</v>
      </c>
      <c r="E6">
        <v>1948.5698650465431</v>
      </c>
      <c r="F6">
        <v>2296.9264368385366</v>
      </c>
      <c r="G6">
        <v>3588.9475575602141</v>
      </c>
      <c r="H6">
        <v>5259.150299028679</v>
      </c>
      <c r="I6">
        <v>7794.2794601861724</v>
      </c>
      <c r="J6">
        <v>12884.421148471019</v>
      </c>
      <c r="K6">
        <v>19247.098258827071</v>
      </c>
      <c r="L6">
        <v>31177.11784074469</v>
      </c>
      <c r="O6" s="37">
        <v>114.7</v>
      </c>
      <c r="P6" s="12">
        <v>47910.748362852202</v>
      </c>
      <c r="Q6" s="12">
        <f xml:space="preserve"> 4144.684425*O6^0.516754</f>
        <v>48059.483993910006</v>
      </c>
    </row>
    <row r="7" spans="1:22" x14ac:dyDescent="0.45">
      <c r="A7">
        <v>64.7</v>
      </c>
      <c r="B7">
        <v>200</v>
      </c>
      <c r="C7">
        <v>497.08414924656705</v>
      </c>
      <c r="D7">
        <v>715.80117491505644</v>
      </c>
      <c r="E7">
        <v>974.28493252327155</v>
      </c>
      <c r="F7">
        <v>1148.4632184192683</v>
      </c>
      <c r="G7">
        <v>1794.4737787801071</v>
      </c>
      <c r="H7">
        <v>2629.5751495143395</v>
      </c>
      <c r="I7">
        <v>3897.1397300930862</v>
      </c>
      <c r="J7">
        <v>6442.2105742355097</v>
      </c>
      <c r="K7">
        <v>9623.5491294135354</v>
      </c>
      <c r="L7">
        <v>15588.558920372345</v>
      </c>
      <c r="O7" s="37">
        <v>1014.7</v>
      </c>
      <c r="P7" s="12">
        <v>148860.93148934332</v>
      </c>
      <c r="Q7" s="12">
        <f xml:space="preserve"> 4144.684425*O7^0.516754</f>
        <v>148261.53098681217</v>
      </c>
    </row>
    <row r="8" spans="1:22" x14ac:dyDescent="0.45">
      <c r="A8">
        <v>64.7</v>
      </c>
      <c r="B8">
        <v>300</v>
      </c>
      <c r="C8">
        <v>331.3894328310447</v>
      </c>
      <c r="D8">
        <v>477.20078327670433</v>
      </c>
      <c r="E8">
        <v>649.5232883488477</v>
      </c>
      <c r="F8">
        <v>765.64214561284564</v>
      </c>
      <c r="G8">
        <v>1196.3158525200713</v>
      </c>
      <c r="H8">
        <v>1753.0500996762262</v>
      </c>
      <c r="I8">
        <v>2598.0931533953908</v>
      </c>
      <c r="J8">
        <v>4294.8070494903395</v>
      </c>
      <c r="K8">
        <v>6415.6994196090236</v>
      </c>
      <c r="L8">
        <v>10392.372613581563</v>
      </c>
      <c r="O8" s="37">
        <v>2014.7</v>
      </c>
      <c r="P8" s="12">
        <v>214359.71980130891</v>
      </c>
      <c r="Q8" s="12">
        <f t="shared" ref="Q7:Q9" si="0" xml:space="preserve"> 4144.684425*O8^0.516754</f>
        <v>211327.20208234643</v>
      </c>
    </row>
    <row r="9" spans="1:22" x14ac:dyDescent="0.45">
      <c r="A9">
        <v>64.7</v>
      </c>
      <c r="B9">
        <v>400</v>
      </c>
      <c r="C9">
        <v>248.54207462328353</v>
      </c>
      <c r="D9">
        <v>357.90058745752822</v>
      </c>
      <c r="E9">
        <v>487.14246626163578</v>
      </c>
      <c r="F9">
        <v>574.23160920963414</v>
      </c>
      <c r="G9">
        <v>897.23688939005353</v>
      </c>
      <c r="H9">
        <v>1314.7875747571698</v>
      </c>
      <c r="I9">
        <v>1948.5698650465431</v>
      </c>
      <c r="J9">
        <v>3221.1052871177549</v>
      </c>
      <c r="K9">
        <v>4811.7745647067677</v>
      </c>
      <c r="L9">
        <v>7794.2794601861724</v>
      </c>
      <c r="O9" s="37">
        <f>O8+1000</f>
        <v>3014.7</v>
      </c>
      <c r="P9" s="12">
        <v>256337.64189177155</v>
      </c>
      <c r="Q9" s="12">
        <f t="shared" si="0"/>
        <v>260258.41180901331</v>
      </c>
    </row>
    <row r="10" spans="1:22" x14ac:dyDescent="0.45">
      <c r="A10">
        <v>64.7</v>
      </c>
      <c r="B10">
        <v>500</v>
      </c>
      <c r="C10">
        <v>198.8336596986268</v>
      </c>
      <c r="D10">
        <v>286.32046996602259</v>
      </c>
      <c r="E10">
        <v>389.71397300930863</v>
      </c>
      <c r="F10">
        <v>459.38528736770735</v>
      </c>
      <c r="G10">
        <v>717.78951151204285</v>
      </c>
      <c r="H10">
        <v>1051.8300598057358</v>
      </c>
      <c r="I10">
        <v>1558.8558920372345</v>
      </c>
      <c r="J10">
        <v>2576.8842296942039</v>
      </c>
      <c r="K10">
        <v>3849.4196517654141</v>
      </c>
      <c r="L10">
        <v>6235.4235681489381</v>
      </c>
      <c r="O10" s="37">
        <f t="shared" ref="O10:O12" si="1">O9+1000</f>
        <v>4014.7</v>
      </c>
      <c r="P10" s="12"/>
      <c r="Q10" s="12">
        <f xml:space="preserve"> 4144.684425*O10^0.516754</f>
        <v>301782.2013004293</v>
      </c>
    </row>
    <row r="11" spans="1:22" x14ac:dyDescent="0.45">
      <c r="A11">
        <v>64.7</v>
      </c>
      <c r="B11">
        <v>600</v>
      </c>
      <c r="C11">
        <v>165.69471641552235</v>
      </c>
      <c r="D11">
        <v>238.60039163835216</v>
      </c>
      <c r="E11">
        <v>324.76164417442385</v>
      </c>
      <c r="F11">
        <v>382.82107280642282</v>
      </c>
      <c r="G11">
        <v>598.15792626003565</v>
      </c>
      <c r="H11">
        <v>876.52504983811309</v>
      </c>
      <c r="I11">
        <v>1299.0465766976954</v>
      </c>
      <c r="J11">
        <v>2147.4035247451698</v>
      </c>
      <c r="K11">
        <v>3207.8497098045118</v>
      </c>
      <c r="L11">
        <v>5196.1863067907816</v>
      </c>
      <c r="O11" s="37">
        <f t="shared" si="1"/>
        <v>5014.7</v>
      </c>
      <c r="P11" s="12"/>
      <c r="Q11" s="12">
        <f t="shared" ref="Q10:Q12" si="2" xml:space="preserve"> 4144.684425*O11^0.516754</f>
        <v>338538.33313099429</v>
      </c>
      <c r="R11" s="1"/>
      <c r="U11" s="1"/>
    </row>
    <row r="12" spans="1:22" x14ac:dyDescent="0.45">
      <c r="A12">
        <v>64.7</v>
      </c>
      <c r="B12">
        <v>700</v>
      </c>
      <c r="C12">
        <v>142.02404264187629</v>
      </c>
      <c r="D12">
        <v>204.51462140430186</v>
      </c>
      <c r="E12">
        <v>278.36712357807761</v>
      </c>
      <c r="F12">
        <v>328.13234811979095</v>
      </c>
      <c r="G12">
        <v>512.70679393717342</v>
      </c>
      <c r="H12">
        <v>751.30718557552552</v>
      </c>
      <c r="I12">
        <v>1113.4684943123104</v>
      </c>
      <c r="J12">
        <v>1840.6315926387172</v>
      </c>
      <c r="K12">
        <v>2749.5854655467242</v>
      </c>
      <c r="L12">
        <v>4453.8739772492418</v>
      </c>
      <c r="O12" s="37">
        <f t="shared" si="1"/>
        <v>6014.7</v>
      </c>
      <c r="Q12" s="12">
        <f t="shared" si="2"/>
        <v>371890.77475514187</v>
      </c>
      <c r="R12" s="1"/>
      <c r="U12" s="1"/>
    </row>
    <row r="13" spans="1:22" x14ac:dyDescent="0.45">
      <c r="A13">
        <v>64.7</v>
      </c>
      <c r="B13">
        <v>800</v>
      </c>
      <c r="C13">
        <v>124.27103731164176</v>
      </c>
      <c r="D13">
        <v>178.95029372876411</v>
      </c>
      <c r="E13">
        <v>243.57123313081789</v>
      </c>
      <c r="F13">
        <v>287.11580460481707</v>
      </c>
      <c r="G13">
        <v>448.61844469502677</v>
      </c>
      <c r="H13">
        <v>657.39378737858488</v>
      </c>
      <c r="I13">
        <v>974.28493252327155</v>
      </c>
      <c r="J13">
        <v>1610.5526435588774</v>
      </c>
      <c r="K13">
        <v>2405.8872823533839</v>
      </c>
      <c r="L13">
        <v>3897.1397300930862</v>
      </c>
      <c r="R13" s="1"/>
      <c r="U13" s="1"/>
    </row>
    <row r="14" spans="1:22" x14ac:dyDescent="0.45">
      <c r="A14">
        <v>64.7</v>
      </c>
      <c r="B14">
        <v>900</v>
      </c>
      <c r="C14">
        <v>110.46314427701489</v>
      </c>
      <c r="D14">
        <v>159.06692775890144</v>
      </c>
      <c r="E14">
        <v>216.50776278294924</v>
      </c>
      <c r="F14">
        <v>255.21404853761518</v>
      </c>
      <c r="G14">
        <v>398.77195084002381</v>
      </c>
      <c r="H14">
        <v>584.35003322540877</v>
      </c>
      <c r="I14">
        <v>866.03105113179697</v>
      </c>
      <c r="J14">
        <v>1431.6023498301133</v>
      </c>
      <c r="K14">
        <v>2138.5664732030077</v>
      </c>
      <c r="L14">
        <v>3464.1242045271879</v>
      </c>
      <c r="R14" s="1"/>
      <c r="U14" s="1"/>
    </row>
    <row r="15" spans="1:22" x14ac:dyDescent="0.45">
      <c r="A15">
        <v>64.7</v>
      </c>
      <c r="B15">
        <v>1000</v>
      </c>
      <c r="C15">
        <v>99.416829849313402</v>
      </c>
      <c r="D15">
        <v>143.16023498301129</v>
      </c>
      <c r="E15">
        <v>194.85698650465432</v>
      </c>
      <c r="F15">
        <v>229.69264368385367</v>
      </c>
      <c r="G15">
        <v>358.89475575602142</v>
      </c>
      <c r="H15">
        <v>525.9150299028679</v>
      </c>
      <c r="I15">
        <v>779.42794601861726</v>
      </c>
      <c r="J15">
        <v>1288.4421148471019</v>
      </c>
      <c r="K15">
        <v>1924.709825882707</v>
      </c>
      <c r="L15">
        <v>3117.7117840744691</v>
      </c>
      <c r="R15" s="1"/>
      <c r="U15" s="1"/>
    </row>
    <row r="16" spans="1:22" x14ac:dyDescent="0.45">
      <c r="A16">
        <v>64.7</v>
      </c>
      <c r="B16">
        <v>2000</v>
      </c>
      <c r="C16">
        <v>49.708414924656701</v>
      </c>
      <c r="D16">
        <v>71.580117491505646</v>
      </c>
      <c r="E16">
        <v>97.428493252327158</v>
      </c>
      <c r="F16">
        <v>114.84632184192684</v>
      </c>
      <c r="G16">
        <v>179.44737787801071</v>
      </c>
      <c r="H16">
        <v>262.95751495143395</v>
      </c>
      <c r="I16">
        <v>389.71397300930863</v>
      </c>
      <c r="J16">
        <v>644.22105742355097</v>
      </c>
      <c r="K16">
        <v>962.35491294135352</v>
      </c>
      <c r="L16">
        <v>1558.8558920372345</v>
      </c>
    </row>
    <row r="17" spans="1:24" x14ac:dyDescent="0.45">
      <c r="A17">
        <v>64.7</v>
      </c>
      <c r="B17">
        <v>3000</v>
      </c>
      <c r="C17">
        <v>33.138943283104467</v>
      </c>
      <c r="D17">
        <v>47.720078327670429</v>
      </c>
      <c r="E17">
        <v>64.952328834884767</v>
      </c>
      <c r="F17">
        <v>76.564214561284558</v>
      </c>
      <c r="G17">
        <v>119.63158525200714</v>
      </c>
      <c r="H17">
        <v>175.30500996762262</v>
      </c>
      <c r="I17">
        <v>259.80931533953907</v>
      </c>
      <c r="J17">
        <v>429.48070494903396</v>
      </c>
      <c r="K17">
        <v>641.56994196090238</v>
      </c>
      <c r="L17">
        <v>1039.2372613581563</v>
      </c>
    </row>
    <row r="18" spans="1:24" x14ac:dyDescent="0.45">
      <c r="A18">
        <v>64.7</v>
      </c>
      <c r="B18">
        <v>4000</v>
      </c>
      <c r="C18">
        <v>24.85420746232835</v>
      </c>
      <c r="D18">
        <v>35.790058745752823</v>
      </c>
      <c r="E18">
        <v>48.714246626163579</v>
      </c>
      <c r="F18">
        <v>57.423160920963419</v>
      </c>
      <c r="G18">
        <v>89.723688939005356</v>
      </c>
      <c r="H18">
        <v>131.47875747571698</v>
      </c>
      <c r="I18">
        <v>194.85698650465432</v>
      </c>
      <c r="J18">
        <v>322.11052871177549</v>
      </c>
      <c r="K18">
        <v>481.17745647067676</v>
      </c>
      <c r="L18">
        <v>779.42794601861726</v>
      </c>
    </row>
    <row r="19" spans="1:24" x14ac:dyDescent="0.45">
      <c r="A19">
        <v>64.7</v>
      </c>
      <c r="B19">
        <v>5000</v>
      </c>
      <c r="C19">
        <v>19.88336596986268</v>
      </c>
      <c r="D19">
        <v>28.632046996602259</v>
      </c>
      <c r="E19">
        <v>38.97139730093086</v>
      </c>
      <c r="F19">
        <v>45.938528736770735</v>
      </c>
      <c r="G19">
        <v>71.778951151204282</v>
      </c>
      <c r="H19">
        <v>105.18300598057357</v>
      </c>
      <c r="I19">
        <v>155.88558920372344</v>
      </c>
      <c r="J19">
        <v>257.6884229694204</v>
      </c>
      <c r="K19">
        <v>384.94196517654143</v>
      </c>
      <c r="L19">
        <v>623.54235681489376</v>
      </c>
    </row>
    <row r="20" spans="1:24" x14ac:dyDescent="0.45">
      <c r="A20">
        <v>64.7</v>
      </c>
      <c r="B20">
        <v>6000</v>
      </c>
      <c r="C20">
        <v>16.569471641552234</v>
      </c>
      <c r="D20">
        <v>23.860039163835214</v>
      </c>
      <c r="E20">
        <v>32.476164417442384</v>
      </c>
      <c r="F20">
        <v>38.282107280642279</v>
      </c>
      <c r="G20">
        <v>59.815792626003571</v>
      </c>
      <c r="H20">
        <v>87.652504983811312</v>
      </c>
      <c r="I20">
        <v>129.90465766976953</v>
      </c>
      <c r="J20">
        <v>214.74035247451698</v>
      </c>
      <c r="K20">
        <v>320.78497098045119</v>
      </c>
      <c r="L20">
        <v>519.61863067907814</v>
      </c>
    </row>
    <row r="21" spans="1:24" ht="35" x14ac:dyDescent="0.45">
      <c r="C21" s="6" t="str">
        <f>C$2&amp;""" "&amp;$A22-14.7&amp;"psig"</f>
        <v>1.25" 100psig</v>
      </c>
      <c r="D21" s="6" t="str">
        <f>D$2&amp;""" "&amp;$A22-14.7&amp;"psig"</f>
        <v>1.5" 100psig</v>
      </c>
      <c r="E21" s="6" t="str">
        <f>E$2&amp;""" "&amp;$A22-14.7&amp;"psig"</f>
        <v>1.75" 100psig</v>
      </c>
      <c r="F21" s="6" t="str">
        <f>F$2&amp;""" "&amp;$A22-14.7&amp;"psig"</f>
        <v>1.9" 100psig</v>
      </c>
      <c r="G21" s="6" t="str">
        <f>G$2&amp;""" "&amp;$A22-14.7&amp;"psig"</f>
        <v>2.375" 100psig</v>
      </c>
      <c r="H21" s="6" t="str">
        <f>H$2&amp;""" "&amp;$A22-14.7&amp;"psig"</f>
        <v>2.875" 100psig</v>
      </c>
      <c r="I21" s="6" t="str">
        <f>I$2&amp;""" "&amp;$A22-14.7&amp;"psig"</f>
        <v>3.5" 100psig</v>
      </c>
      <c r="J21" s="6" t="str">
        <f>J$2&amp;""" "&amp;$A22-14.7&amp;"psig"</f>
        <v>4.5" 100psig</v>
      </c>
      <c r="K21" s="6" t="str">
        <f>K$2&amp;""" "&amp;$A22-14.7&amp;"psig"</f>
        <v>5.5" 100psig</v>
      </c>
      <c r="L21" s="6" t="str">
        <f>L$2&amp;""" "&amp;$A22-14.7&amp;"psig"</f>
        <v>7" 100psig</v>
      </c>
    </row>
    <row r="22" spans="1:24" x14ac:dyDescent="0.45">
      <c r="A22">
        <v>114.7</v>
      </c>
      <c r="B22">
        <v>10</v>
      </c>
      <c r="C22" s="12">
        <v>13271.675446773501</v>
      </c>
      <c r="D22" s="12">
        <v>19111.2126433538</v>
      </c>
      <c r="E22" s="12">
        <v>26012.483875676007</v>
      </c>
      <c r="F22" s="12">
        <v>30662.87895222543</v>
      </c>
      <c r="G22" s="12">
        <v>47910.748362852224</v>
      </c>
      <c r="H22" s="12">
        <v>70207.16311343167</v>
      </c>
      <c r="I22" s="12">
        <v>104049.93550270403</v>
      </c>
      <c r="J22" s="12">
        <v>172000.91379018419</v>
      </c>
      <c r="K22" s="12">
        <v>256939.6366495344</v>
      </c>
      <c r="L22" s="12">
        <v>416199.74201081612</v>
      </c>
      <c r="S22" s="4" t="s">
        <v>120</v>
      </c>
      <c r="T22" s="12">
        <f>N26</f>
        <v>10</v>
      </c>
      <c r="U22" s="12"/>
      <c r="W22" s="12"/>
      <c r="X22" s="12" t="str">
        <f>"text(2000, 1650, labels = ""Turner's Min. Lift 2-3/8"""", col = ""black"", cex = 0.75, font = 2, srt = -28, adj = 1)"</f>
        <v>text(2000, 1650, labels = "Turner's Min. Lift 2-3/8"", col = "black", cex = 0.75, font = 2, srt = -28, adj = 1)</v>
      </c>
    </row>
    <row r="23" spans="1:24" x14ac:dyDescent="0.45">
      <c r="A23">
        <v>114.7</v>
      </c>
      <c r="B23">
        <v>50</v>
      </c>
      <c r="C23" s="12">
        <v>2654.3350893546944</v>
      </c>
      <c r="D23" s="12">
        <v>3822.2425286707598</v>
      </c>
      <c r="E23" s="12">
        <v>5202.4967751352015</v>
      </c>
      <c r="F23" s="12">
        <v>6132.5757904450866</v>
      </c>
      <c r="G23" s="12">
        <v>9582.1496725704455</v>
      </c>
      <c r="H23" s="12">
        <v>14041.432622686334</v>
      </c>
      <c r="I23" s="12">
        <v>20809.987100540806</v>
      </c>
      <c r="J23" s="12">
        <v>34400.182758036841</v>
      </c>
      <c r="K23" s="12">
        <v>51387.927329906874</v>
      </c>
      <c r="L23" s="12">
        <v>83239.948402163223</v>
      </c>
      <c r="R23" t="s">
        <v>44</v>
      </c>
      <c r="S23" t="s">
        <v>122</v>
      </c>
      <c r="T23" t="s">
        <v>48</v>
      </c>
      <c r="V23" t="s">
        <v>48</v>
      </c>
      <c r="X23" t="s">
        <v>121</v>
      </c>
    </row>
    <row r="24" spans="1:24" x14ac:dyDescent="0.45">
      <c r="A24">
        <v>114.7</v>
      </c>
      <c r="B24">
        <v>100</v>
      </c>
      <c r="C24" s="12">
        <v>1327.1675446773472</v>
      </c>
      <c r="D24" s="12">
        <v>1911.1212643353799</v>
      </c>
      <c r="E24" s="12">
        <v>2601.2483875676007</v>
      </c>
      <c r="F24" s="12">
        <v>3066.2878952225433</v>
      </c>
      <c r="G24" s="12">
        <v>4791.0748362852228</v>
      </c>
      <c r="H24" s="12">
        <v>7020.716311343167</v>
      </c>
      <c r="I24" s="12">
        <v>10404.993550270403</v>
      </c>
      <c r="J24" s="12">
        <v>17200.09137901842</v>
      </c>
      <c r="K24" s="12">
        <v>25693.963664953437</v>
      </c>
      <c r="L24" s="12">
        <v>41619.974201081612</v>
      </c>
      <c r="O24" t="s">
        <v>119</v>
      </c>
      <c r="R24">
        <v>64.7</v>
      </c>
      <c r="S24" s="12">
        <v>358894.8</v>
      </c>
      <c r="T24" s="12">
        <f>$S24*T$22^-1</f>
        <v>35889.480000000003</v>
      </c>
      <c r="U24">
        <v>1500</v>
      </c>
      <c r="V24" s="12">
        <f>$S24*U24^-1</f>
        <v>239.26319999999998</v>
      </c>
      <c r="X24" s="12" t="str">
        <f>"lines(c("&amp;ROUND(V24,0)&amp;","&amp;ROUND(T24,0)&amp;"), c("&amp;U24&amp;","&amp;T$22&amp;"), col = ""black"", lwd = 2, lty = 3)"</f>
        <v>lines(c(239,35889), c(1500,10), col = "black", lwd = 2, lty = 3)</v>
      </c>
    </row>
    <row r="25" spans="1:24" x14ac:dyDescent="0.45">
      <c r="A25">
        <v>114.7</v>
      </c>
      <c r="B25">
        <v>200</v>
      </c>
      <c r="C25" s="12">
        <v>663.58377233867361</v>
      </c>
      <c r="D25" s="12">
        <v>955.56063216768996</v>
      </c>
      <c r="E25" s="12">
        <v>1300.6241937838004</v>
      </c>
      <c r="F25" s="12">
        <v>1533.1439476112716</v>
      </c>
      <c r="G25" s="12">
        <v>2395.5374181426114</v>
      </c>
      <c r="H25" s="12">
        <v>3510.3581556715835</v>
      </c>
      <c r="I25" s="12">
        <v>5202.4967751352015</v>
      </c>
      <c r="J25" s="12">
        <v>8600.0456895092102</v>
      </c>
      <c r="K25" s="12">
        <v>12846.981832476718</v>
      </c>
      <c r="L25" s="12">
        <v>20809.987100540806</v>
      </c>
      <c r="N25" t="s">
        <v>48</v>
      </c>
      <c r="O25" t="s">
        <v>42</v>
      </c>
      <c r="P25" t="s">
        <v>48</v>
      </c>
      <c r="R25">
        <v>114.7</v>
      </c>
      <c r="S25" s="12">
        <v>479107.5</v>
      </c>
      <c r="T25" s="12">
        <f>$S25*T$22^-1</f>
        <v>47910.75</v>
      </c>
      <c r="U25">
        <v>1750</v>
      </c>
      <c r="V25" s="12">
        <f>$S25*U25^-1</f>
        <v>273.77571428571429</v>
      </c>
      <c r="X25" s="12" t="str">
        <f t="shared" ref="X25:X30" si="3">"lines(c("&amp;ROUND(V25,0)&amp;","&amp;ROUND(T25,0)&amp;"), c("&amp;U25&amp;","&amp;T$22&amp;"), col = ""black"", lwd = 2, lty = 3)"</f>
        <v>lines(c(274,47911), c(1750,10), col = "black", lwd = 2, lty = 3)</v>
      </c>
    </row>
    <row r="26" spans="1:24" x14ac:dyDescent="0.45">
      <c r="A26">
        <v>114.7</v>
      </c>
      <c r="B26">
        <v>300</v>
      </c>
      <c r="C26" s="12">
        <v>442.38918155911574</v>
      </c>
      <c r="D26" s="12">
        <v>637.04042144512664</v>
      </c>
      <c r="E26" s="12">
        <v>867.08279585586683</v>
      </c>
      <c r="F26" s="12">
        <v>1022.0959650741811</v>
      </c>
      <c r="G26" s="12">
        <v>1597.0249454284076</v>
      </c>
      <c r="H26" s="12">
        <v>2340.2387704477223</v>
      </c>
      <c r="I26" s="12">
        <v>3468.3311834234673</v>
      </c>
      <c r="J26" s="12">
        <v>5733.3637930061395</v>
      </c>
      <c r="K26" s="12">
        <v>8564.6545549844795</v>
      </c>
      <c r="L26" s="12">
        <v>13873.324733693869</v>
      </c>
      <c r="N26" s="12">
        <v>10</v>
      </c>
      <c r="O26" s="12">
        <f>480000*N26^-1</f>
        <v>48000</v>
      </c>
      <c r="P26" s="12">
        <f>479107.5*O26^-1</f>
        <v>9.9814062499999991</v>
      </c>
      <c r="R26">
        <v>1014.7</v>
      </c>
      <c r="S26" s="12">
        <v>1488609</v>
      </c>
      <c r="T26" s="12">
        <f>$S26*T$22^-1</f>
        <v>148860.9</v>
      </c>
      <c r="U26">
        <v>2000</v>
      </c>
      <c r="V26" s="12">
        <f>$S26*U26^-1</f>
        <v>744.30449999999996</v>
      </c>
      <c r="X26" s="12" t="str">
        <f t="shared" si="3"/>
        <v>lines(c(744,148861), c(2000,10), col = "black", lwd = 2, lty = 3)</v>
      </c>
    </row>
    <row r="27" spans="1:24" x14ac:dyDescent="0.45">
      <c r="A27">
        <v>114.7</v>
      </c>
      <c r="B27">
        <v>400</v>
      </c>
      <c r="C27" s="12">
        <v>331.79188616933681</v>
      </c>
      <c r="D27" s="12">
        <v>477.78031608384498</v>
      </c>
      <c r="E27" s="12">
        <v>650.31209689190018</v>
      </c>
      <c r="F27" s="12">
        <v>766.57197380563582</v>
      </c>
      <c r="G27" s="12">
        <v>1197.7687090713057</v>
      </c>
      <c r="H27" s="12">
        <v>1755.1790778357918</v>
      </c>
      <c r="I27" s="12">
        <v>2601.2483875676007</v>
      </c>
      <c r="J27" s="12">
        <v>4300.0228447546051</v>
      </c>
      <c r="K27" s="12">
        <v>6423.4909162383592</v>
      </c>
      <c r="L27" s="12">
        <v>10404.993550270403</v>
      </c>
      <c r="N27" s="12">
        <v>479.99965627777425</v>
      </c>
      <c r="O27" s="12">
        <f>480000*N27^-1</f>
        <v>1000.000716088483</v>
      </c>
      <c r="P27" s="12">
        <f t="shared" ref="P27:P30" si="4">479107.5*O27^-1</f>
        <v>479.10715691688273</v>
      </c>
      <c r="R27">
        <v>2014.7</v>
      </c>
      <c r="S27" s="12">
        <v>2143597</v>
      </c>
      <c r="T27" s="12">
        <f>$S27*T$22^-1</f>
        <v>214359.7</v>
      </c>
      <c r="U27">
        <v>2000</v>
      </c>
      <c r="V27" s="12">
        <f>$S27*U27^-1</f>
        <v>1071.7985000000001</v>
      </c>
      <c r="X27" s="12" t="str">
        <f t="shared" si="3"/>
        <v>lines(c(1072,214360), c(2000,10), col = "black", lwd = 2, lty = 3)</v>
      </c>
    </row>
    <row r="28" spans="1:24" x14ac:dyDescent="0.45">
      <c r="A28">
        <v>114.7</v>
      </c>
      <c r="B28">
        <v>500</v>
      </c>
      <c r="C28" s="12">
        <v>265.43350893546943</v>
      </c>
      <c r="D28" s="12">
        <v>382.22425286707596</v>
      </c>
      <c r="E28" s="12">
        <v>520.24967751352017</v>
      </c>
      <c r="F28" s="12">
        <v>613.25757904450859</v>
      </c>
      <c r="G28" s="12">
        <v>958.21496725704446</v>
      </c>
      <c r="H28" s="12">
        <v>1404.1432622686334</v>
      </c>
      <c r="I28" s="12">
        <v>2080.9987100540807</v>
      </c>
      <c r="J28" s="12">
        <v>3440.018275803684</v>
      </c>
      <c r="K28" s="12">
        <v>5138.7927329906879</v>
      </c>
      <c r="L28" s="12">
        <v>8323.9948402163227</v>
      </c>
      <c r="N28" s="12">
        <v>1000</v>
      </c>
      <c r="O28" s="12">
        <f t="shared" ref="O27:O30" si="5">480000*N28^-1</f>
        <v>480</v>
      </c>
      <c r="P28" s="12">
        <f t="shared" si="4"/>
        <v>998.140625</v>
      </c>
      <c r="R28">
        <v>3014.7</v>
      </c>
      <c r="S28" s="12">
        <v>2563376</v>
      </c>
      <c r="T28" s="12">
        <f>$S28*T$22^-1</f>
        <v>256337.6</v>
      </c>
      <c r="U28">
        <v>2000</v>
      </c>
      <c r="V28" s="12">
        <f>$S28*U28^-1</f>
        <v>1281.6880000000001</v>
      </c>
      <c r="X28" s="12" t="str">
        <f t="shared" si="3"/>
        <v>lines(c(1282,256338), c(2000,10), col = "black", lwd = 2, lty = 3)</v>
      </c>
    </row>
    <row r="29" spans="1:24" x14ac:dyDescent="0.45">
      <c r="A29">
        <v>114.7</v>
      </c>
      <c r="B29">
        <v>600</v>
      </c>
      <c r="C29" s="12">
        <v>221.19459077955787</v>
      </c>
      <c r="D29" s="12">
        <v>318.52021072256332</v>
      </c>
      <c r="E29" s="12">
        <v>433.54139792793342</v>
      </c>
      <c r="F29" s="12">
        <v>511.04798253709055</v>
      </c>
      <c r="G29" s="12">
        <v>798.5124727142038</v>
      </c>
      <c r="H29" s="12">
        <v>1170.1193852238612</v>
      </c>
      <c r="I29" s="12">
        <v>1734.1655917117337</v>
      </c>
      <c r="J29" s="12">
        <v>2866.6818965030698</v>
      </c>
      <c r="K29" s="12">
        <v>4282.3272774922398</v>
      </c>
      <c r="L29" s="12">
        <v>6936.6623668469347</v>
      </c>
      <c r="N29" s="12">
        <f>N28*10</f>
        <v>10000</v>
      </c>
      <c r="O29" s="12">
        <f t="shared" si="5"/>
        <v>48</v>
      </c>
      <c r="P29" s="12">
        <f t="shared" si="4"/>
        <v>9981.40625</v>
      </c>
      <c r="R29">
        <v>4014.7</v>
      </c>
      <c r="S29" s="12">
        <v>2820425</v>
      </c>
      <c r="T29" s="12">
        <f>$S29*T$22^-1</f>
        <v>282042.5</v>
      </c>
      <c r="U29">
        <v>2000</v>
      </c>
      <c r="V29" s="12">
        <f>$S29*U29^-1</f>
        <v>1410.2125000000001</v>
      </c>
      <c r="X29" s="12" t="str">
        <f t="shared" si="3"/>
        <v>lines(c(1410,282043), c(2000,10), col = "black", lwd = 2, lty = 3)</v>
      </c>
    </row>
    <row r="30" spans="1:24" x14ac:dyDescent="0.45">
      <c r="A30">
        <v>114.7</v>
      </c>
      <c r="B30">
        <v>700</v>
      </c>
      <c r="C30" s="12">
        <v>189.5953635253353</v>
      </c>
      <c r="D30" s="12">
        <v>273.01732347648283</v>
      </c>
      <c r="E30" s="12">
        <v>371.60691250965721</v>
      </c>
      <c r="F30" s="12">
        <v>438.04112788893474</v>
      </c>
      <c r="G30" s="12">
        <v>684.43926232646038</v>
      </c>
      <c r="H30" s="12">
        <v>1002.9594730490238</v>
      </c>
      <c r="I30" s="12">
        <v>1486.4276500386288</v>
      </c>
      <c r="J30" s="12">
        <v>2457.1559112883456</v>
      </c>
      <c r="K30" s="12">
        <v>3670.5662378504912</v>
      </c>
      <c r="L30" s="12">
        <v>5945.7106001545153</v>
      </c>
      <c r="N30" s="12">
        <f>N29*10</f>
        <v>100000</v>
      </c>
      <c r="O30" s="12">
        <f t="shared" si="5"/>
        <v>4.8000000000000007</v>
      </c>
      <c r="P30" s="12">
        <f t="shared" si="4"/>
        <v>99814.062499999985</v>
      </c>
      <c r="R30">
        <v>5014.7</v>
      </c>
      <c r="S30" s="12">
        <v>2985588</v>
      </c>
      <c r="T30" s="12">
        <f>$S30*T$22^-1</f>
        <v>298558.8</v>
      </c>
      <c r="U30">
        <v>2000</v>
      </c>
      <c r="V30" s="12">
        <f>$S30*U30^-1</f>
        <v>1492.7940000000001</v>
      </c>
      <c r="X30" s="12" t="str">
        <f t="shared" si="3"/>
        <v>lines(c(1493,298559), c(2000,10), col = "black", lwd = 2, lty = 3)</v>
      </c>
    </row>
    <row r="31" spans="1:24" x14ac:dyDescent="0.45">
      <c r="A31">
        <v>114.7</v>
      </c>
      <c r="B31">
        <v>800</v>
      </c>
      <c r="C31" s="12">
        <v>165.8959430846684</v>
      </c>
      <c r="D31" s="12">
        <v>238.89015804192249</v>
      </c>
      <c r="E31" s="12">
        <v>325.15604844595009</v>
      </c>
      <c r="F31" s="12">
        <v>383.28598690281791</v>
      </c>
      <c r="G31" s="12">
        <v>598.88435453565285</v>
      </c>
      <c r="H31" s="12">
        <v>877.58953891789588</v>
      </c>
      <c r="I31" s="12">
        <v>1300.6241937838004</v>
      </c>
      <c r="J31" s="12">
        <v>2150.0114223773026</v>
      </c>
      <c r="K31" s="12">
        <v>3211.7454581191796</v>
      </c>
      <c r="L31" s="12">
        <v>5202.4967751352015</v>
      </c>
      <c r="P31" s="12"/>
      <c r="Q31" s="12"/>
      <c r="R31">
        <v>6014.7</v>
      </c>
      <c r="S31" s="12">
        <v>3099612</v>
      </c>
      <c r="T31" s="12">
        <f>$S31*T$22^-1</f>
        <v>309961.2</v>
      </c>
      <c r="U31">
        <v>2000</v>
      </c>
      <c r="V31" s="12">
        <f>$S31*U31^-1</f>
        <v>1549.806</v>
      </c>
    </row>
    <row r="32" spans="1:24" x14ac:dyDescent="0.45">
      <c r="A32">
        <v>114.7</v>
      </c>
      <c r="B32">
        <v>900</v>
      </c>
      <c r="C32" s="12">
        <v>147.46306051970524</v>
      </c>
      <c r="D32" s="12">
        <v>212.34680714837555</v>
      </c>
      <c r="E32" s="12">
        <v>289.02759861862228</v>
      </c>
      <c r="F32" s="12">
        <v>340.69865502472703</v>
      </c>
      <c r="G32" s="12">
        <v>532.34164847613579</v>
      </c>
      <c r="H32" s="12">
        <v>780.07959014924074</v>
      </c>
      <c r="I32" s="12">
        <v>1156.1103944744891</v>
      </c>
      <c r="J32" s="12">
        <v>1911.1212643353799</v>
      </c>
      <c r="K32" s="12">
        <v>2854.884851661493</v>
      </c>
      <c r="L32" s="12">
        <v>4624.4415778979564</v>
      </c>
      <c r="N32" t="s">
        <v>48</v>
      </c>
      <c r="O32" t="s">
        <v>119</v>
      </c>
      <c r="P32" s="12"/>
      <c r="Q32" s="12"/>
      <c r="R32" s="12"/>
      <c r="S32" s="12"/>
      <c r="T32" s="12"/>
      <c r="U32" s="12"/>
      <c r="X32" s="12" t="str">
        <f>"text("&amp;ROUND(V24,0)&amp;", "&amp;ROUND(U24,0)&amp;", labels = """&amp;R24-14.7&amp;"psig"", col = ""black"", cex = 0.75, font = 1, srt = -28, adj = 1.1)"</f>
        <v>text(239, 1500, labels = "50psig", col = "black", cex = 0.75, font = 1, srt = -28, adj = 1.1)</v>
      </c>
    </row>
    <row r="33" spans="1:24" x14ac:dyDescent="0.45">
      <c r="A33">
        <v>114.7</v>
      </c>
      <c r="B33">
        <v>1000</v>
      </c>
      <c r="C33" s="12">
        <v>132.71675446773472</v>
      </c>
      <c r="D33" s="12">
        <v>191.11212643353798</v>
      </c>
      <c r="E33" s="12">
        <v>260.12483875676008</v>
      </c>
      <c r="F33" s="12">
        <v>306.62878952225429</v>
      </c>
      <c r="G33" s="12">
        <v>479.10748362852223</v>
      </c>
      <c r="H33" s="12">
        <v>702.0716311343167</v>
      </c>
      <c r="I33" s="12">
        <v>1040.4993550270403</v>
      </c>
      <c r="J33" s="12">
        <v>1720.009137901842</v>
      </c>
      <c r="K33" s="12">
        <v>2569.396366495344</v>
      </c>
      <c r="L33" s="12">
        <v>4161.9974201081614</v>
      </c>
      <c r="N33" s="12">
        <v>10</v>
      </c>
      <c r="O33" s="12">
        <f xml:space="preserve"> 479107.5*N33^-1</f>
        <v>47910.75</v>
      </c>
      <c r="P33" s="12">
        <f xml:space="preserve"> 1488609*N33^-1</f>
        <v>148860.9</v>
      </c>
      <c r="Q33" s="12"/>
      <c r="R33" s="12"/>
      <c r="S33" s="12"/>
      <c r="T33" s="12"/>
      <c r="U33" s="12"/>
      <c r="X33" s="12" t="str">
        <f>"text("&amp;ROUND(V25,0)&amp;", "&amp;ROUND(U25,0)&amp;", labels = """&amp;R25-14.7&amp;"psig"", col = ""black"", cex = 0.75, font = 1, srt = -28, adj = 1.1)"</f>
        <v>text(274, 1750, labels = "100psig", col = "black", cex = 0.75, font = 1, srt = -28, adj = 1.1)</v>
      </c>
    </row>
    <row r="34" spans="1:24" x14ac:dyDescent="0.45">
      <c r="A34">
        <v>114.7</v>
      </c>
      <c r="B34">
        <v>2000</v>
      </c>
      <c r="C34" s="12">
        <v>66.358377233867358</v>
      </c>
      <c r="D34" s="12">
        <v>95.55606321676899</v>
      </c>
      <c r="E34" s="12">
        <v>130.06241937838004</v>
      </c>
      <c r="F34" s="12">
        <v>153.31439476112715</v>
      </c>
      <c r="G34" s="12">
        <v>239.55374181426112</v>
      </c>
      <c r="H34" s="12">
        <v>351.03581556715835</v>
      </c>
      <c r="I34" s="12">
        <v>520.24967751352017</v>
      </c>
      <c r="J34" s="12">
        <v>860.004568950921</v>
      </c>
      <c r="K34" s="12">
        <v>1284.698183247672</v>
      </c>
      <c r="L34" s="12">
        <v>2080.9987100540807</v>
      </c>
      <c r="O34" s="12"/>
      <c r="P34" s="12"/>
      <c r="Q34" s="12"/>
      <c r="R34" s="12"/>
      <c r="S34" s="12"/>
      <c r="T34" s="12"/>
      <c r="U34" s="12"/>
      <c r="X34" s="12" t="str">
        <f>"text("&amp;ROUND(V26,0)&amp;", "&amp;ROUND(U26,0)&amp;", labels = """&amp;R26-14.7&amp;"psig"", col = ""black"", cex = 0.75, font = 1, srt = -28, adj = 1.1)"</f>
        <v>text(744, 2000, labels = "1000psig", col = "black", cex = 0.75, font = 1, srt = -28, adj = 1.1)</v>
      </c>
    </row>
    <row r="35" spans="1:24" x14ac:dyDescent="0.45">
      <c r="A35">
        <v>114.7</v>
      </c>
      <c r="B35">
        <v>3000</v>
      </c>
      <c r="C35" s="12">
        <v>44.23891815591157</v>
      </c>
      <c r="D35" s="12">
        <v>63.704042144512663</v>
      </c>
      <c r="E35" s="12">
        <v>86.708279585586681</v>
      </c>
      <c r="F35" s="12">
        <v>102.20959650741811</v>
      </c>
      <c r="G35" s="12">
        <v>159.70249454284075</v>
      </c>
      <c r="H35" s="12">
        <v>234.02387704477223</v>
      </c>
      <c r="I35" s="12">
        <v>346.83311834234672</v>
      </c>
      <c r="J35" s="12">
        <v>573.336379300614</v>
      </c>
      <c r="K35" s="12">
        <v>856.46545549844791</v>
      </c>
      <c r="L35" s="12">
        <v>1387.3324733693869</v>
      </c>
      <c r="O35" s="12"/>
      <c r="P35" s="12"/>
      <c r="Q35" s="12"/>
      <c r="R35" s="12"/>
      <c r="S35" s="12"/>
      <c r="T35" s="12"/>
      <c r="U35" s="12"/>
      <c r="X35" s="12" t="str">
        <f>"text("&amp;ROUND(V27,0)&amp;", "&amp;ROUND(U27,0)&amp;", labels = """&amp;R27-14.7&amp;"psig"", col = ""black"", cex = 0.75, font = 1, srt = -28, adj = 1.1)"</f>
        <v>text(1072, 2000, labels = "2000psig", col = "black", cex = 0.75, font = 1, srt = -28, adj = 1.1)</v>
      </c>
    </row>
    <row r="36" spans="1:24" x14ac:dyDescent="0.45">
      <c r="A36">
        <v>114.7</v>
      </c>
      <c r="B36">
        <v>4000</v>
      </c>
      <c r="C36" s="12">
        <v>33.179188616933679</v>
      </c>
      <c r="D36" s="12">
        <v>47.778031608384495</v>
      </c>
      <c r="E36" s="12">
        <v>65.031209689190021</v>
      </c>
      <c r="F36" s="12">
        <v>76.657197380563574</v>
      </c>
      <c r="G36" s="12">
        <v>119.77687090713056</v>
      </c>
      <c r="H36" s="12">
        <v>175.51790778357918</v>
      </c>
      <c r="I36" s="12">
        <v>260.12483875676008</v>
      </c>
      <c r="J36" s="12">
        <v>430.0022844754605</v>
      </c>
      <c r="K36" s="12">
        <v>642.34909162383599</v>
      </c>
      <c r="L36" s="12">
        <v>1040.4993550270403</v>
      </c>
      <c r="O36" s="12"/>
      <c r="P36" s="12"/>
      <c r="Q36" s="12"/>
      <c r="R36" s="12"/>
      <c r="S36" s="12"/>
      <c r="T36" s="12"/>
      <c r="U36" s="12"/>
      <c r="X36" s="12" t="str">
        <f>"text("&amp;ROUND(V28,0)&amp;", "&amp;ROUND(U28,0)&amp;", labels = """&amp;R28-14.7&amp;"psig"", col = ""black"", cex = 0.75, font = 1, srt = -28, adj = 1.1)"</f>
        <v>text(1282, 2000, labels = "3000psig", col = "black", cex = 0.75, font = 1, srt = -28, adj = 1.1)</v>
      </c>
    </row>
    <row r="37" spans="1:24" x14ac:dyDescent="0.45">
      <c r="A37">
        <v>114.7</v>
      </c>
      <c r="B37">
        <v>5000</v>
      </c>
      <c r="C37" s="12">
        <v>26.543350893546943</v>
      </c>
      <c r="D37" s="12">
        <v>38.222425286707598</v>
      </c>
      <c r="E37" s="12">
        <v>52.024967751352008</v>
      </c>
      <c r="F37" s="12">
        <v>61.32575790445086</v>
      </c>
      <c r="G37" s="12">
        <v>95.821496725704449</v>
      </c>
      <c r="H37" s="12">
        <v>140.41432622686332</v>
      </c>
      <c r="I37" s="12">
        <v>208.09987100540803</v>
      </c>
      <c r="J37" s="12">
        <v>344.0018275803684</v>
      </c>
      <c r="K37" s="12">
        <v>513.87927329906881</v>
      </c>
      <c r="L37" s="12">
        <v>832.39948402163213</v>
      </c>
      <c r="X37" s="12" t="str">
        <f>"text("&amp;ROUND(V29,0)&amp;", "&amp;ROUND(U29,0)&amp;", labels = """&amp;R29-14.7&amp;"psig"", col = ""black"", cex = 0.75, font = 1, srt = -28, adj = 1.1)"</f>
        <v>text(1410, 2000, labels = "4000psig", col = "black", cex = 0.75, font = 1, srt = -28, adj = 1.1)</v>
      </c>
    </row>
    <row r="38" spans="1:24" x14ac:dyDescent="0.45">
      <c r="A38">
        <v>114.7</v>
      </c>
      <c r="B38">
        <v>6000</v>
      </c>
      <c r="C38" s="12">
        <v>22.119459077955785</v>
      </c>
      <c r="D38" s="12">
        <v>31.852021072256331</v>
      </c>
      <c r="E38" s="12">
        <v>43.35413979279334</v>
      </c>
      <c r="F38" s="12">
        <v>51.104798253709056</v>
      </c>
      <c r="G38" s="12">
        <v>79.851247271420377</v>
      </c>
      <c r="H38" s="12">
        <v>117.01193852238612</v>
      </c>
      <c r="I38" s="12">
        <v>173.41655917117336</v>
      </c>
      <c r="J38" s="12">
        <v>286.668189650307</v>
      </c>
      <c r="K38" s="12">
        <v>428.23272774922395</v>
      </c>
      <c r="L38" s="12">
        <v>693.66623668469344</v>
      </c>
      <c r="X38" s="12" t="str">
        <f>"text("&amp;ROUND(V30,0)&amp;", "&amp;ROUND(U30,0)&amp;", labels = """&amp;R30-14.7&amp;"psig"", col = ""black"", cex = 0.75, font = 1, srt = -28, adj = 1.1)"</f>
        <v>text(1493, 2000, labels = "5000psig", col = "black", cex = 0.75, font = 1, srt = -28, adj = 1.1)</v>
      </c>
    </row>
    <row r="39" spans="1:24" ht="35" x14ac:dyDescent="0.45">
      <c r="C39" s="6" t="str">
        <f>C$2&amp;""" "&amp;$A40-14.7&amp;"psig"</f>
        <v>1.25" 1000psig</v>
      </c>
      <c r="D39" s="6" t="str">
        <f>D$2&amp;""" "&amp;$A40-14.7&amp;"psig"</f>
        <v>1.5" 1000psig</v>
      </c>
      <c r="E39" s="6" t="str">
        <f>E$2&amp;""" "&amp;$A40-14.7&amp;"psig"</f>
        <v>1.75" 1000psig</v>
      </c>
      <c r="F39" s="6" t="str">
        <f>F$2&amp;""" "&amp;$A40-14.7&amp;"psig"</f>
        <v>1.9" 1000psig</v>
      </c>
      <c r="G39" s="6" t="str">
        <f>G$2&amp;""" "&amp;$A40-14.7&amp;"psig"</f>
        <v>2.375" 1000psig</v>
      </c>
      <c r="H39" s="6" t="str">
        <f>H$2&amp;""" "&amp;$A40-14.7&amp;"psig"</f>
        <v>2.875" 1000psig</v>
      </c>
      <c r="I39" s="6" t="str">
        <f>I$2&amp;""" "&amp;$A40-14.7&amp;"psig"</f>
        <v>3.5" 1000psig</v>
      </c>
      <c r="J39" s="6" t="str">
        <f>J$2&amp;""" "&amp;$A40-14.7&amp;"psig"</f>
        <v>4.5" 1000psig</v>
      </c>
      <c r="K39" s="6" t="str">
        <f>K$2&amp;""" "&amp;$A40-14.7&amp;"psig"</f>
        <v>5.5" 1000psig</v>
      </c>
      <c r="L39" s="6" t="str">
        <f>L$2&amp;""" "&amp;$A40-14.7&amp;"psig"</f>
        <v>7" 1000psig</v>
      </c>
    </row>
    <row r="40" spans="1:24" x14ac:dyDescent="0.45">
      <c r="A40">
        <v>1014.7</v>
      </c>
      <c r="B40">
        <v>10</v>
      </c>
      <c r="C40" s="12">
        <v>41235.715094000923</v>
      </c>
      <c r="D40" s="12">
        <v>59379.429735361322</v>
      </c>
      <c r="E40" s="12">
        <v>80822.001584241807</v>
      </c>
      <c r="F40" s="12">
        <v>95270.996153179716</v>
      </c>
      <c r="G40" s="12">
        <v>148860.93148934332</v>
      </c>
      <c r="H40" s="12">
        <v>218136.93284726483</v>
      </c>
      <c r="I40" s="12">
        <v>323288.00633696723</v>
      </c>
      <c r="J40" s="12">
        <v>534414.86761825194</v>
      </c>
      <c r="K40" s="12">
        <v>798323.44421985757</v>
      </c>
      <c r="L40" s="12">
        <v>1293152.0253478689</v>
      </c>
    </row>
    <row r="41" spans="1:24" x14ac:dyDescent="0.45">
      <c r="A41">
        <v>1014.7</v>
      </c>
      <c r="B41">
        <v>50</v>
      </c>
      <c r="C41" s="12">
        <v>8247.143018800185</v>
      </c>
      <c r="D41" s="12">
        <v>11875.885947072264</v>
      </c>
      <c r="E41" s="12">
        <v>16164.400316848361</v>
      </c>
      <c r="F41" s="12">
        <v>19054.199230635943</v>
      </c>
      <c r="G41" s="12">
        <v>29772.186297868662</v>
      </c>
      <c r="H41" s="12">
        <v>43627.386569452967</v>
      </c>
      <c r="I41" s="12">
        <v>64657.601267393446</v>
      </c>
      <c r="J41" s="12">
        <v>106882.97352365039</v>
      </c>
      <c r="K41" s="12">
        <v>159664.6888439715</v>
      </c>
      <c r="L41" s="12">
        <v>258630.40506957378</v>
      </c>
    </row>
    <row r="42" spans="1:24" x14ac:dyDescent="0.45">
      <c r="A42">
        <v>1014.7</v>
      </c>
      <c r="B42">
        <v>100</v>
      </c>
      <c r="C42" s="12">
        <v>4123.5715094000925</v>
      </c>
      <c r="D42" s="12">
        <v>5937.9429735361318</v>
      </c>
      <c r="E42" s="12">
        <v>8082.2001584241807</v>
      </c>
      <c r="F42" s="12">
        <v>9527.0996153179713</v>
      </c>
      <c r="G42" s="12">
        <v>14886.093148934331</v>
      </c>
      <c r="H42" s="12">
        <v>21813.693284726483</v>
      </c>
      <c r="I42" s="12">
        <v>32328.800633696723</v>
      </c>
      <c r="J42" s="12">
        <v>53441.486761825196</v>
      </c>
      <c r="K42" s="12">
        <v>79832.344421985748</v>
      </c>
      <c r="L42" s="12">
        <v>129315.20253478689</v>
      </c>
    </row>
    <row r="43" spans="1:24" x14ac:dyDescent="0.45">
      <c r="A43">
        <v>1014.7</v>
      </c>
      <c r="B43">
        <v>200</v>
      </c>
      <c r="C43" s="12">
        <v>2061.7857547000463</v>
      </c>
      <c r="D43" s="12">
        <v>2968.9714867680659</v>
      </c>
      <c r="E43" s="12">
        <v>4041.1000792120903</v>
      </c>
      <c r="F43" s="12">
        <v>4763.5498076589856</v>
      </c>
      <c r="G43" s="12">
        <v>7443.0465744671656</v>
      </c>
      <c r="H43" s="12">
        <v>10906.846642363242</v>
      </c>
      <c r="I43" s="12">
        <v>16164.400316848361</v>
      </c>
      <c r="J43" s="12">
        <v>26720.743380912598</v>
      </c>
      <c r="K43" s="12">
        <v>39916.172210992874</v>
      </c>
      <c r="L43" s="12">
        <v>64657.601267393446</v>
      </c>
    </row>
    <row r="44" spans="1:24" x14ac:dyDescent="0.45">
      <c r="A44">
        <v>1014.7</v>
      </c>
      <c r="B44">
        <v>300</v>
      </c>
      <c r="C44" s="12">
        <v>1374.5238364666975</v>
      </c>
      <c r="D44" s="12">
        <v>1979.3143245120439</v>
      </c>
      <c r="E44" s="12">
        <v>2694.0667194747271</v>
      </c>
      <c r="F44" s="12">
        <v>3175.6998717726574</v>
      </c>
      <c r="G44" s="12">
        <v>4962.0310496447773</v>
      </c>
      <c r="H44" s="12">
        <v>7271.2310949088278</v>
      </c>
      <c r="I44" s="12">
        <v>10776.266877898908</v>
      </c>
      <c r="J44" s="12">
        <v>17813.828920608397</v>
      </c>
      <c r="K44" s="12">
        <v>26610.781473995252</v>
      </c>
      <c r="L44" s="12">
        <v>43105.067511595633</v>
      </c>
    </row>
    <row r="45" spans="1:24" x14ac:dyDescent="0.45">
      <c r="A45">
        <v>1014.7</v>
      </c>
      <c r="B45">
        <v>400</v>
      </c>
      <c r="C45" s="12">
        <v>1030.8928773500231</v>
      </c>
      <c r="D45" s="12">
        <v>1484.485743384033</v>
      </c>
      <c r="E45" s="12">
        <v>2020.5500396060452</v>
      </c>
      <c r="F45" s="12">
        <v>2381.7749038294928</v>
      </c>
      <c r="G45" s="12">
        <v>3721.5232872335828</v>
      </c>
      <c r="H45" s="12">
        <v>5453.4233211816208</v>
      </c>
      <c r="I45" s="12">
        <v>8082.2001584241807</v>
      </c>
      <c r="J45" s="12">
        <v>13360.371690456299</v>
      </c>
      <c r="K45" s="12">
        <v>19958.086105496437</v>
      </c>
      <c r="L45" s="12">
        <v>32328.800633696723</v>
      </c>
    </row>
    <row r="46" spans="1:24" x14ac:dyDescent="0.45">
      <c r="A46">
        <v>1014.7</v>
      </c>
      <c r="B46">
        <v>500</v>
      </c>
      <c r="C46" s="12">
        <v>824.71430188001841</v>
      </c>
      <c r="D46" s="12">
        <v>1187.5885947072263</v>
      </c>
      <c r="E46" s="12">
        <v>1616.4400316848362</v>
      </c>
      <c r="F46" s="12">
        <v>1905.4199230635943</v>
      </c>
      <c r="G46" s="12">
        <v>2977.2186297868661</v>
      </c>
      <c r="H46" s="12">
        <v>4362.7386569452965</v>
      </c>
      <c r="I46" s="12">
        <v>6465.7601267393447</v>
      </c>
      <c r="J46" s="12">
        <v>10688.29735236504</v>
      </c>
      <c r="K46" s="12">
        <v>15966.468884397151</v>
      </c>
      <c r="L46" s="12">
        <v>25863.040506957379</v>
      </c>
    </row>
    <row r="47" spans="1:24" x14ac:dyDescent="0.45">
      <c r="A47">
        <v>1014.7</v>
      </c>
      <c r="B47">
        <v>600</v>
      </c>
      <c r="C47" s="12">
        <v>687.26191823334875</v>
      </c>
      <c r="D47" s="12">
        <v>989.65716225602193</v>
      </c>
      <c r="E47" s="12">
        <v>1347.0333597373635</v>
      </c>
      <c r="F47" s="12">
        <v>1587.8499358863287</v>
      </c>
      <c r="G47" s="12">
        <v>2481.0155248223887</v>
      </c>
      <c r="H47" s="12">
        <v>3635.6155474544139</v>
      </c>
      <c r="I47" s="12">
        <v>5388.1334389494541</v>
      </c>
      <c r="J47" s="12">
        <v>8906.9144603041987</v>
      </c>
      <c r="K47" s="12">
        <v>13305.390736997626</v>
      </c>
      <c r="L47" s="12">
        <v>21552.533755797816</v>
      </c>
    </row>
    <row r="48" spans="1:24" x14ac:dyDescent="0.45">
      <c r="A48">
        <v>1014.7</v>
      </c>
      <c r="B48">
        <v>700</v>
      </c>
      <c r="C48" s="12">
        <v>589.08164420001322</v>
      </c>
      <c r="D48" s="12">
        <v>848.27756764801882</v>
      </c>
      <c r="E48" s="12">
        <v>1154.6000226320259</v>
      </c>
      <c r="F48" s="12">
        <v>1361.0142307597102</v>
      </c>
      <c r="G48" s="12">
        <v>2126.5847355620472</v>
      </c>
      <c r="H48" s="12">
        <v>3116.241897818069</v>
      </c>
      <c r="I48" s="12">
        <v>4618.4000905281036</v>
      </c>
      <c r="J48" s="12">
        <v>7634.4981088321711</v>
      </c>
      <c r="K48" s="12">
        <v>11404.620631712251</v>
      </c>
      <c r="L48" s="12">
        <v>18473.600362112415</v>
      </c>
    </row>
    <row r="49" spans="1:12" x14ac:dyDescent="0.45">
      <c r="A49">
        <v>1014.7</v>
      </c>
      <c r="B49">
        <v>800</v>
      </c>
      <c r="C49" s="12">
        <v>515.44643867501156</v>
      </c>
      <c r="D49" s="12">
        <v>742.24287169201648</v>
      </c>
      <c r="E49" s="12">
        <v>1010.2750198030226</v>
      </c>
      <c r="F49" s="12">
        <v>1190.8874519147464</v>
      </c>
      <c r="G49" s="12">
        <v>1860.7616436167914</v>
      </c>
      <c r="H49" s="12">
        <v>2726.7116605908104</v>
      </c>
      <c r="I49" s="12">
        <v>4041.1000792120903</v>
      </c>
      <c r="J49" s="12">
        <v>6680.1858452281494</v>
      </c>
      <c r="K49" s="12">
        <v>9979.0430527482185</v>
      </c>
      <c r="L49" s="12">
        <v>16164.400316848361</v>
      </c>
    </row>
    <row r="50" spans="1:12" x14ac:dyDescent="0.45">
      <c r="A50">
        <v>1014.7</v>
      </c>
      <c r="B50">
        <v>900</v>
      </c>
      <c r="C50" s="12">
        <v>458.1746121555658</v>
      </c>
      <c r="D50" s="12">
        <v>659.77144150401466</v>
      </c>
      <c r="E50" s="12">
        <v>898.02223982490898</v>
      </c>
      <c r="F50" s="12">
        <v>1058.5666239242191</v>
      </c>
      <c r="G50" s="12">
        <v>1654.0103498815924</v>
      </c>
      <c r="H50" s="12">
        <v>2423.7436983029424</v>
      </c>
      <c r="I50" s="12">
        <v>3592.0889592996359</v>
      </c>
      <c r="J50" s="12">
        <v>5937.9429735361327</v>
      </c>
      <c r="K50" s="12">
        <v>8870.26049133175</v>
      </c>
      <c r="L50" s="12">
        <v>14368.355837198544</v>
      </c>
    </row>
    <row r="51" spans="1:12" x14ac:dyDescent="0.45">
      <c r="A51">
        <v>1014.7</v>
      </c>
      <c r="B51">
        <v>1000</v>
      </c>
      <c r="C51" s="12">
        <v>412.35715094000921</v>
      </c>
      <c r="D51" s="12">
        <v>593.79429735361316</v>
      </c>
      <c r="E51" s="12">
        <v>808.22001584241809</v>
      </c>
      <c r="F51" s="12">
        <v>952.70996153179715</v>
      </c>
      <c r="G51" s="12">
        <v>1488.6093148934331</v>
      </c>
      <c r="H51" s="12">
        <v>2181.3693284726482</v>
      </c>
      <c r="I51" s="12">
        <v>3232.8800633696724</v>
      </c>
      <c r="J51" s="12">
        <v>5344.1486761825199</v>
      </c>
      <c r="K51" s="12">
        <v>7983.2344421985754</v>
      </c>
      <c r="L51" s="12">
        <v>12931.520253478689</v>
      </c>
    </row>
    <row r="52" spans="1:12" x14ac:dyDescent="0.45">
      <c r="A52">
        <v>1014.7</v>
      </c>
      <c r="B52">
        <v>2000</v>
      </c>
      <c r="C52" s="12">
        <v>206.1785754700046</v>
      </c>
      <c r="D52" s="12">
        <v>296.89714867680658</v>
      </c>
      <c r="E52" s="12">
        <v>404.11000792120905</v>
      </c>
      <c r="F52" s="12">
        <v>476.35498076589857</v>
      </c>
      <c r="G52" s="12">
        <v>744.30465744671653</v>
      </c>
      <c r="H52" s="12">
        <v>1090.6846642363241</v>
      </c>
      <c r="I52" s="12">
        <v>1616.4400316848362</v>
      </c>
      <c r="J52" s="12">
        <v>2672.07433809126</v>
      </c>
      <c r="K52" s="12">
        <v>3991.6172210992877</v>
      </c>
      <c r="L52" s="12">
        <v>6465.7601267393447</v>
      </c>
    </row>
    <row r="53" spans="1:12" x14ac:dyDescent="0.45">
      <c r="A53">
        <v>1014.7</v>
      </c>
      <c r="B53">
        <v>3000</v>
      </c>
      <c r="C53" s="12">
        <v>137.45238364666974</v>
      </c>
      <c r="D53" s="12">
        <v>197.93143245120439</v>
      </c>
      <c r="E53" s="12">
        <v>269.40667194747272</v>
      </c>
      <c r="F53" s="12">
        <v>317.56998717726572</v>
      </c>
      <c r="G53" s="12">
        <v>496.20310496447769</v>
      </c>
      <c r="H53" s="12">
        <v>727.12310949088271</v>
      </c>
      <c r="I53" s="12">
        <v>1077.6266877898909</v>
      </c>
      <c r="J53" s="12">
        <v>1781.3828920608398</v>
      </c>
      <c r="K53" s="12">
        <v>2661.0781473995253</v>
      </c>
      <c r="L53" s="12">
        <v>4310.5067511595635</v>
      </c>
    </row>
    <row r="54" spans="1:12" x14ac:dyDescent="0.45">
      <c r="A54">
        <v>1014.7</v>
      </c>
      <c r="B54">
        <v>4000</v>
      </c>
      <c r="C54" s="12">
        <v>103.0892877350023</v>
      </c>
      <c r="D54" s="12">
        <v>148.44857433840329</v>
      </c>
      <c r="E54" s="12">
        <v>202.05500396060452</v>
      </c>
      <c r="F54" s="12">
        <v>238.17749038294929</v>
      </c>
      <c r="G54" s="12">
        <v>372.15232872335827</v>
      </c>
      <c r="H54" s="12">
        <v>545.34233211816206</v>
      </c>
      <c r="I54" s="12">
        <v>808.22001584241809</v>
      </c>
      <c r="J54" s="12">
        <v>1336.03716904563</v>
      </c>
      <c r="K54" s="12">
        <v>1995.8086105496438</v>
      </c>
      <c r="L54" s="12">
        <v>3232.8800633696724</v>
      </c>
    </row>
    <row r="55" spans="1:12" x14ac:dyDescent="0.45">
      <c r="A55">
        <v>1014.7</v>
      </c>
      <c r="B55">
        <v>5000</v>
      </c>
      <c r="C55" s="12">
        <v>82.471430188001847</v>
      </c>
      <c r="D55" s="12">
        <v>118.75885947072264</v>
      </c>
      <c r="E55" s="12">
        <v>161.64400316848361</v>
      </c>
      <c r="F55" s="12">
        <v>190.54199230635945</v>
      </c>
      <c r="G55" s="12">
        <v>297.7218629786866</v>
      </c>
      <c r="H55" s="12">
        <v>436.27386569452966</v>
      </c>
      <c r="I55" s="12">
        <v>646.57601267393443</v>
      </c>
      <c r="J55" s="12">
        <v>1068.8297352365039</v>
      </c>
      <c r="K55" s="12">
        <v>1596.646888439715</v>
      </c>
      <c r="L55" s="12">
        <v>2586.3040506957377</v>
      </c>
    </row>
    <row r="56" spans="1:12" x14ac:dyDescent="0.45">
      <c r="A56">
        <v>1014.7</v>
      </c>
      <c r="B56">
        <v>6000</v>
      </c>
      <c r="C56" s="12">
        <v>68.726191823334872</v>
      </c>
      <c r="D56" s="12">
        <v>98.965716225602193</v>
      </c>
      <c r="E56" s="12">
        <v>134.70333597373636</v>
      </c>
      <c r="F56" s="12">
        <v>158.78499358863286</v>
      </c>
      <c r="G56" s="12">
        <v>248.10155248223884</v>
      </c>
      <c r="H56" s="12">
        <v>363.56155474544136</v>
      </c>
      <c r="I56" s="12">
        <v>538.81334389494543</v>
      </c>
      <c r="J56" s="12">
        <v>890.69144603041991</v>
      </c>
      <c r="K56" s="12">
        <v>1330.5390736997626</v>
      </c>
      <c r="L56" s="12">
        <v>2155.2533755797817</v>
      </c>
    </row>
    <row r="57" spans="1:12" ht="35" x14ac:dyDescent="0.45">
      <c r="C57" s="6" t="str">
        <f>C$2&amp;""" "&amp;$A58-14.7&amp;"psig"</f>
        <v>1.25" 2000psig</v>
      </c>
      <c r="D57" s="6" t="str">
        <f>D$2&amp;""" "&amp;$A58-14.7&amp;"psig"</f>
        <v>1.5" 2000psig</v>
      </c>
      <c r="E57" s="6" t="str">
        <f>E$2&amp;""" "&amp;$A58-14.7&amp;"psig"</f>
        <v>1.75" 2000psig</v>
      </c>
      <c r="F57" s="6" t="str">
        <f>F$2&amp;""" "&amp;$A58-14.7&amp;"psig"</f>
        <v>1.9" 2000psig</v>
      </c>
      <c r="G57" s="6" t="str">
        <f>G$2&amp;""" "&amp;$A58-14.7&amp;"psig"</f>
        <v>2.375" 2000psig</v>
      </c>
      <c r="H57" s="6" t="str">
        <f>H$2&amp;""" "&amp;$A58-14.7&amp;"psig"</f>
        <v>2.875" 2000psig</v>
      </c>
      <c r="I57" s="6" t="str">
        <f>I$2&amp;""" "&amp;$A58-14.7&amp;"psig"</f>
        <v>3.5" 2000psig</v>
      </c>
      <c r="J57" s="6" t="str">
        <f>J$2&amp;""" "&amp;$A58-14.7&amp;"psig"</f>
        <v>4.5" 2000psig</v>
      </c>
      <c r="K57" s="6" t="str">
        <f>K$2&amp;""" "&amp;$A58-14.7&amp;"psig"</f>
        <v>5.5" 2000psig</v>
      </c>
      <c r="L57" s="6" t="str">
        <f>L$2&amp;""" "&amp;$A58-14.7&amp;"psig"</f>
        <v>7" 2000psig</v>
      </c>
    </row>
    <row r="58" spans="1:12" x14ac:dyDescent="0.45">
      <c r="A58">
        <v>2014.7</v>
      </c>
      <c r="B58">
        <v>10</v>
      </c>
      <c r="C58" s="12">
        <v>59379.423767675624</v>
      </c>
      <c r="D58" s="12">
        <v>85506.370225452891</v>
      </c>
      <c r="E58" s="12">
        <v>116383.67058464423</v>
      </c>
      <c r="F58" s="12">
        <v>137190.22067283772</v>
      </c>
      <c r="G58" s="12">
        <v>214359.71980130891</v>
      </c>
      <c r="H58" s="12">
        <v>314117.15173100401</v>
      </c>
      <c r="I58" s="12">
        <v>465534.68233857694</v>
      </c>
      <c r="J58" s="12">
        <v>769557.33202907606</v>
      </c>
      <c r="K58" s="12">
        <v>1149585.6441421995</v>
      </c>
      <c r="L58" s="12">
        <v>1862138.7293543078</v>
      </c>
    </row>
    <row r="59" spans="1:12" x14ac:dyDescent="0.45">
      <c r="A59">
        <v>2014.7</v>
      </c>
      <c r="B59">
        <v>50</v>
      </c>
      <c r="C59" s="12">
        <v>11875.884753535125</v>
      </c>
      <c r="D59" s="12">
        <v>17101.274045090577</v>
      </c>
      <c r="E59" s="12">
        <v>23276.734116928848</v>
      </c>
      <c r="F59" s="12">
        <v>27438.044134567543</v>
      </c>
      <c r="G59" s="12">
        <v>42871.943960261786</v>
      </c>
      <c r="H59" s="12">
        <v>62823.430346200803</v>
      </c>
      <c r="I59" s="12">
        <v>93106.936467715394</v>
      </c>
      <c r="J59" s="12">
        <v>153911.46640581521</v>
      </c>
      <c r="K59" s="12">
        <v>229917.12882843989</v>
      </c>
      <c r="L59" s="12">
        <v>372427.74587086157</v>
      </c>
    </row>
    <row r="60" spans="1:12" x14ac:dyDescent="0.45">
      <c r="A60">
        <v>2014.7</v>
      </c>
      <c r="B60">
        <v>100</v>
      </c>
      <c r="C60" s="12">
        <v>5937.9423767675626</v>
      </c>
      <c r="D60" s="12">
        <v>8550.6370225452883</v>
      </c>
      <c r="E60" s="12">
        <v>11638.367058464424</v>
      </c>
      <c r="F60" s="12">
        <v>13719.022067283771</v>
      </c>
      <c r="G60" s="12">
        <v>21435.971980130893</v>
      </c>
      <c r="H60" s="12">
        <v>31411.715173100401</v>
      </c>
      <c r="I60" s="12">
        <v>46553.468233857697</v>
      </c>
      <c r="J60" s="12">
        <v>76955.733202907606</v>
      </c>
      <c r="K60" s="12">
        <v>114958.56441421995</v>
      </c>
      <c r="L60" s="12">
        <v>186213.87293543079</v>
      </c>
    </row>
    <row r="61" spans="1:12" x14ac:dyDescent="0.45">
      <c r="A61">
        <v>2014.7</v>
      </c>
      <c r="B61">
        <v>200</v>
      </c>
      <c r="C61" s="12">
        <v>2968.9711883837813</v>
      </c>
      <c r="D61" s="12">
        <v>4275.3185112726442</v>
      </c>
      <c r="E61" s="12">
        <v>5819.1835292322121</v>
      </c>
      <c r="F61" s="12">
        <v>6859.5110336418857</v>
      </c>
      <c r="G61" s="12">
        <v>10717.985990065446</v>
      </c>
      <c r="H61" s="12">
        <v>15705.857586550201</v>
      </c>
      <c r="I61" s="12">
        <v>23276.734116928848</v>
      </c>
      <c r="J61" s="12">
        <v>38477.866601453803</v>
      </c>
      <c r="K61" s="12">
        <v>57479.282207109973</v>
      </c>
      <c r="L61" s="12">
        <v>93106.936467715394</v>
      </c>
    </row>
    <row r="62" spans="1:12" x14ac:dyDescent="0.45">
      <c r="A62">
        <v>2014.7</v>
      </c>
      <c r="B62">
        <v>300</v>
      </c>
      <c r="C62" s="12">
        <v>1979.3141255891874</v>
      </c>
      <c r="D62" s="12">
        <v>2850.2123408484294</v>
      </c>
      <c r="E62" s="12">
        <v>3879.4556861548081</v>
      </c>
      <c r="F62" s="12">
        <v>4573.0073557612568</v>
      </c>
      <c r="G62" s="12">
        <v>7145.3239933769637</v>
      </c>
      <c r="H62" s="12">
        <v>10470.5717243668</v>
      </c>
      <c r="I62" s="12">
        <v>15517.822744619232</v>
      </c>
      <c r="J62" s="12">
        <v>25651.911067635869</v>
      </c>
      <c r="K62" s="12">
        <v>38319.521471406653</v>
      </c>
      <c r="L62" s="12">
        <v>62071.290978476929</v>
      </c>
    </row>
    <row r="63" spans="1:12" x14ac:dyDescent="0.45">
      <c r="A63">
        <v>2014.7</v>
      </c>
      <c r="B63">
        <v>400</v>
      </c>
      <c r="C63" s="12">
        <v>1484.4855941918906</v>
      </c>
      <c r="D63" s="12">
        <v>2137.6592556363221</v>
      </c>
      <c r="E63" s="12">
        <v>2909.591764616106</v>
      </c>
      <c r="F63" s="12">
        <v>3429.7555168209428</v>
      </c>
      <c r="G63" s="12">
        <v>5358.9929950327232</v>
      </c>
      <c r="H63" s="12">
        <v>7852.9287932751004</v>
      </c>
      <c r="I63" s="12">
        <v>11638.367058464424</v>
      </c>
      <c r="J63" s="12">
        <v>19238.933300726902</v>
      </c>
      <c r="K63" s="12">
        <v>28739.641103554986</v>
      </c>
      <c r="L63" s="12">
        <v>46553.468233857697</v>
      </c>
    </row>
    <row r="64" spans="1:12" x14ac:dyDescent="0.45">
      <c r="A64">
        <v>2014.7</v>
      </c>
      <c r="B64">
        <v>500</v>
      </c>
      <c r="C64" s="12">
        <v>1187.5884753535124</v>
      </c>
      <c r="D64" s="12">
        <v>1710.1274045090577</v>
      </c>
      <c r="E64" s="12">
        <v>2327.6734116928847</v>
      </c>
      <c r="F64" s="12">
        <v>2743.8044134567544</v>
      </c>
      <c r="G64" s="12">
        <v>4287.1943960261779</v>
      </c>
      <c r="H64" s="12">
        <v>6282.3430346200803</v>
      </c>
      <c r="I64" s="12">
        <v>9310.6936467715386</v>
      </c>
      <c r="J64" s="12">
        <v>15391.146640581521</v>
      </c>
      <c r="K64" s="12">
        <v>22991.712882843989</v>
      </c>
      <c r="L64" s="12">
        <v>37242.774587086154</v>
      </c>
    </row>
    <row r="65" spans="1:12" x14ac:dyDescent="0.45">
      <c r="A65">
        <v>2014.7</v>
      </c>
      <c r="B65">
        <v>600</v>
      </c>
      <c r="C65" s="12">
        <v>989.65706279459368</v>
      </c>
      <c r="D65" s="12">
        <v>1425.1061704242147</v>
      </c>
      <c r="E65" s="12">
        <v>1939.727843077404</v>
      </c>
      <c r="F65" s="12">
        <v>2286.5036778806284</v>
      </c>
      <c r="G65" s="12">
        <v>3572.6619966884818</v>
      </c>
      <c r="H65" s="12">
        <v>5235.2858621834002</v>
      </c>
      <c r="I65" s="12">
        <v>7758.9113723096161</v>
      </c>
      <c r="J65" s="12">
        <v>12825.955533817934</v>
      </c>
      <c r="K65" s="12">
        <v>19159.760735703327</v>
      </c>
      <c r="L65" s="12">
        <v>31035.645489238465</v>
      </c>
    </row>
    <row r="66" spans="1:12" x14ac:dyDescent="0.45">
      <c r="A66">
        <v>2014.7</v>
      </c>
      <c r="B66">
        <v>700</v>
      </c>
      <c r="C66" s="12">
        <v>848.27748239536606</v>
      </c>
      <c r="D66" s="12">
        <v>1221.5195746493271</v>
      </c>
      <c r="E66" s="12">
        <v>1662.6238654949177</v>
      </c>
      <c r="F66" s="12">
        <v>1959.860295326253</v>
      </c>
      <c r="G66" s="12">
        <v>3062.28171144727</v>
      </c>
      <c r="H66" s="12">
        <v>4487.3878818714857</v>
      </c>
      <c r="I66" s="12">
        <v>6650.4954619796708</v>
      </c>
      <c r="J66" s="12">
        <v>10993.676171843943</v>
      </c>
      <c r="K66" s="12">
        <v>16422.652059174277</v>
      </c>
      <c r="L66" s="12">
        <v>26601.981847918683</v>
      </c>
    </row>
    <row r="67" spans="1:12" x14ac:dyDescent="0.45">
      <c r="A67">
        <v>2014.7</v>
      </c>
      <c r="B67">
        <v>800</v>
      </c>
      <c r="C67" s="12">
        <v>742.24279709594532</v>
      </c>
      <c r="D67" s="12">
        <v>1068.829627818161</v>
      </c>
      <c r="E67" s="12">
        <v>1454.795882308053</v>
      </c>
      <c r="F67" s="12">
        <v>1714.8777584104714</v>
      </c>
      <c r="G67" s="12">
        <v>2679.4964975163616</v>
      </c>
      <c r="H67" s="12">
        <v>3926.4643966375502</v>
      </c>
      <c r="I67" s="12">
        <v>5819.1835292322121</v>
      </c>
      <c r="J67" s="12">
        <v>9619.4666503634508</v>
      </c>
      <c r="K67" s="12">
        <v>14369.820551777493</v>
      </c>
      <c r="L67" s="12">
        <v>23276.734116928848</v>
      </c>
    </row>
    <row r="68" spans="1:12" x14ac:dyDescent="0.45">
      <c r="A68">
        <v>2014.7</v>
      </c>
      <c r="B68">
        <v>900</v>
      </c>
      <c r="C68" s="12">
        <v>659.77137519639575</v>
      </c>
      <c r="D68" s="12">
        <v>950.07078028280989</v>
      </c>
      <c r="E68" s="12">
        <v>1293.1518953849359</v>
      </c>
      <c r="F68" s="12">
        <v>1524.3357852537524</v>
      </c>
      <c r="G68" s="12">
        <v>2381.7746644589879</v>
      </c>
      <c r="H68" s="12">
        <v>3490.1905747889332</v>
      </c>
      <c r="I68" s="12">
        <v>5172.6075815397435</v>
      </c>
      <c r="J68" s="12">
        <v>8550.6370225452883</v>
      </c>
      <c r="K68" s="12">
        <v>12773.173823802217</v>
      </c>
      <c r="L68" s="12">
        <v>20690.430326158974</v>
      </c>
    </row>
    <row r="69" spans="1:12" x14ac:dyDescent="0.45">
      <c r="A69">
        <v>2014.7</v>
      </c>
      <c r="B69">
        <v>1000</v>
      </c>
      <c r="C69" s="12">
        <v>593.79423767675621</v>
      </c>
      <c r="D69" s="12">
        <v>855.06370225452883</v>
      </c>
      <c r="E69" s="12">
        <v>1163.8367058464423</v>
      </c>
      <c r="F69" s="12">
        <v>1371.9022067283772</v>
      </c>
      <c r="G69" s="12">
        <v>2143.5971980130889</v>
      </c>
      <c r="H69" s="12">
        <v>3141.1715173100401</v>
      </c>
      <c r="I69" s="12">
        <v>4655.3468233857693</v>
      </c>
      <c r="J69" s="12">
        <v>7695.5733202907604</v>
      </c>
      <c r="K69" s="12">
        <v>11495.856441421995</v>
      </c>
      <c r="L69" s="12">
        <v>18621.387293543077</v>
      </c>
    </row>
    <row r="70" spans="1:12" x14ac:dyDescent="0.45">
      <c r="A70">
        <v>2014.7</v>
      </c>
      <c r="B70">
        <v>2000</v>
      </c>
      <c r="C70" s="12">
        <v>296.89711883837811</v>
      </c>
      <c r="D70" s="12">
        <v>427.53185112726442</v>
      </c>
      <c r="E70" s="12">
        <v>581.91835292322116</v>
      </c>
      <c r="F70" s="12">
        <v>685.95110336418861</v>
      </c>
      <c r="G70" s="12">
        <v>1071.7985990065445</v>
      </c>
      <c r="H70" s="12">
        <v>1570.5857586550201</v>
      </c>
      <c r="I70" s="12">
        <v>2327.6734116928847</v>
      </c>
      <c r="J70" s="12">
        <v>3847.7866601453802</v>
      </c>
      <c r="K70" s="12">
        <v>5747.9282207109973</v>
      </c>
      <c r="L70" s="12">
        <v>9310.6936467715386</v>
      </c>
    </row>
    <row r="71" spans="1:12" x14ac:dyDescent="0.45">
      <c r="A71">
        <v>2014.7</v>
      </c>
      <c r="B71">
        <v>3000</v>
      </c>
      <c r="C71" s="12">
        <v>197.93141255891874</v>
      </c>
      <c r="D71" s="12">
        <v>285.02123408484294</v>
      </c>
      <c r="E71" s="12">
        <v>387.94556861548079</v>
      </c>
      <c r="F71" s="12">
        <v>457.3007355761257</v>
      </c>
      <c r="G71" s="12">
        <v>714.53239933769635</v>
      </c>
      <c r="H71" s="12">
        <v>1047.05717243668</v>
      </c>
      <c r="I71" s="12">
        <v>1551.7822744619232</v>
      </c>
      <c r="J71" s="12">
        <v>2565.1911067635865</v>
      </c>
      <c r="K71" s="12">
        <v>3831.9521471406651</v>
      </c>
      <c r="L71" s="12">
        <v>6207.1290978476927</v>
      </c>
    </row>
    <row r="72" spans="1:12" x14ac:dyDescent="0.45">
      <c r="A72">
        <v>2014.7</v>
      </c>
      <c r="B72">
        <v>4000</v>
      </c>
      <c r="C72" s="12">
        <v>148.44855941918905</v>
      </c>
      <c r="D72" s="12">
        <v>213.76592556363221</v>
      </c>
      <c r="E72" s="12">
        <v>290.95917646161058</v>
      </c>
      <c r="F72" s="12">
        <v>342.97555168209431</v>
      </c>
      <c r="G72" s="12">
        <v>535.89929950327223</v>
      </c>
      <c r="H72" s="12">
        <v>785.29287932751004</v>
      </c>
      <c r="I72" s="12">
        <v>1163.8367058464423</v>
      </c>
      <c r="J72" s="12">
        <v>1923.8933300726901</v>
      </c>
      <c r="K72" s="12">
        <v>2873.9641103554986</v>
      </c>
      <c r="L72" s="12">
        <v>4655.3468233857693</v>
      </c>
    </row>
    <row r="73" spans="1:12" x14ac:dyDescent="0.45">
      <c r="A73">
        <v>2014.7</v>
      </c>
      <c r="B73">
        <v>5000</v>
      </c>
      <c r="C73" s="12">
        <v>118.75884753535125</v>
      </c>
      <c r="D73" s="12">
        <v>171.01274045090577</v>
      </c>
      <c r="E73" s="12">
        <v>232.76734116928847</v>
      </c>
      <c r="F73" s="12">
        <v>274.38044134567542</v>
      </c>
      <c r="G73" s="12">
        <v>428.71943960261785</v>
      </c>
      <c r="H73" s="12">
        <v>628.23430346200803</v>
      </c>
      <c r="I73" s="12">
        <v>931.06936467715389</v>
      </c>
      <c r="J73" s="12">
        <v>1539.1146640581521</v>
      </c>
      <c r="K73" s="12">
        <v>2299.171288284399</v>
      </c>
      <c r="L73" s="12">
        <v>3724.2774587086155</v>
      </c>
    </row>
    <row r="74" spans="1:12" x14ac:dyDescent="0.45">
      <c r="A74">
        <v>2014.7</v>
      </c>
      <c r="B74">
        <v>6000</v>
      </c>
      <c r="C74" s="12">
        <v>98.965706279459368</v>
      </c>
      <c r="D74" s="12">
        <v>142.51061704242147</v>
      </c>
      <c r="E74" s="12">
        <v>193.9727843077404</v>
      </c>
      <c r="F74" s="12">
        <v>228.65036778806285</v>
      </c>
      <c r="G74" s="12">
        <v>357.26619966884817</v>
      </c>
      <c r="H74" s="12">
        <v>523.52858621834002</v>
      </c>
      <c r="I74" s="12">
        <v>775.89113723096159</v>
      </c>
      <c r="J74" s="12">
        <v>1282.5955533817933</v>
      </c>
      <c r="K74" s="12">
        <v>1915.9760735703326</v>
      </c>
      <c r="L74" s="12">
        <v>3103.5645489238464</v>
      </c>
    </row>
    <row r="75" spans="1:12" ht="35" x14ac:dyDescent="0.45">
      <c r="C75" s="6" t="str">
        <f>C$2&amp;""" "&amp;$A$76-14.7&amp;"psig"</f>
        <v>1.25" 3000psig</v>
      </c>
      <c r="D75" s="6" t="str">
        <f>D$2&amp;""" "&amp;$A$76-14.7&amp;"psig"</f>
        <v>1.5" 3000psig</v>
      </c>
      <c r="E75" s="6" t="str">
        <f>E$2&amp;""" "&amp;$A$76-14.7&amp;"psig"</f>
        <v>1.75" 3000psig</v>
      </c>
      <c r="F75" s="6" t="str">
        <f>F$2&amp;""" "&amp;$A$76-14.7&amp;"psig"</f>
        <v>1.9" 3000psig</v>
      </c>
      <c r="G75" s="6" t="str">
        <f>G$2&amp;""" "&amp;$A$76-14.7&amp;"psig"</f>
        <v>2.375" 3000psig</v>
      </c>
      <c r="H75" s="6" t="str">
        <f>H$2&amp;""" "&amp;$A$76-14.7&amp;"psig"</f>
        <v>2.875" 3000psig</v>
      </c>
      <c r="I75" s="6" t="str">
        <f>I$2&amp;""" "&amp;$A$76-14.7&amp;"psig"</f>
        <v>3.5" 3000psig</v>
      </c>
      <c r="J75" s="6" t="str">
        <f>J$2&amp;""" "&amp;$A$76-14.7&amp;"psig"</f>
        <v>4.5" 3000psig</v>
      </c>
      <c r="K75" s="6" t="str">
        <f>K$2&amp;""" "&amp;$A$76-14.7&amp;"psig"</f>
        <v>5.5" 3000psig</v>
      </c>
      <c r="L75" s="6" t="str">
        <f>L$2&amp;""" "&amp;$A$76-14.7&amp;"psig"</f>
        <v>7" 3000psig</v>
      </c>
    </row>
    <row r="76" spans="1:12" x14ac:dyDescent="0.45">
      <c r="A76">
        <v>3014.7</v>
      </c>
      <c r="B76">
        <v>10</v>
      </c>
      <c r="C76">
        <v>71007.657033731753</v>
      </c>
      <c r="D76">
        <v>102251.02612857371</v>
      </c>
      <c r="E76">
        <v>139175.00778611423</v>
      </c>
      <c r="F76">
        <v>164056.09081073379</v>
      </c>
      <c r="G76">
        <v>256337.64189177155</v>
      </c>
      <c r="H76">
        <v>375630.50570844091</v>
      </c>
      <c r="I76">
        <v>556700.03114445694</v>
      </c>
      <c r="J76">
        <v>920259.23515716346</v>
      </c>
      <c r="K76">
        <v>1374708.2401730465</v>
      </c>
      <c r="L76">
        <v>2226800.1245778278</v>
      </c>
    </row>
    <row r="77" spans="1:12" x14ac:dyDescent="0.45">
      <c r="A77">
        <v>3014.7</v>
      </c>
      <c r="B77">
        <v>50</v>
      </c>
      <c r="C77">
        <v>14201.531406746351</v>
      </c>
      <c r="D77">
        <v>20450.205225714741</v>
      </c>
      <c r="E77">
        <v>27835.001557222848</v>
      </c>
      <c r="F77">
        <v>32811.218162146761</v>
      </c>
      <c r="G77">
        <v>51267.528378354313</v>
      </c>
      <c r="H77">
        <v>75126.101141688181</v>
      </c>
      <c r="I77">
        <v>111340.00622889139</v>
      </c>
      <c r="J77">
        <v>184051.8470314327</v>
      </c>
      <c r="K77">
        <v>274941.64803460927</v>
      </c>
      <c r="L77">
        <v>445360.02491556556</v>
      </c>
    </row>
    <row r="78" spans="1:12" x14ac:dyDescent="0.45">
      <c r="A78">
        <v>3014.7</v>
      </c>
      <c r="B78">
        <v>100</v>
      </c>
      <c r="C78">
        <v>7100.7657033731757</v>
      </c>
      <c r="D78">
        <v>10225.10261285737</v>
      </c>
      <c r="E78">
        <v>13917.500778611424</v>
      </c>
      <c r="F78">
        <v>16405.60908107338</v>
      </c>
      <c r="G78">
        <v>25633.764189177156</v>
      </c>
      <c r="H78">
        <v>37563.050570844091</v>
      </c>
      <c r="I78">
        <v>55670.003114445695</v>
      </c>
      <c r="J78">
        <v>92025.923515716349</v>
      </c>
      <c r="K78">
        <v>137470.82401730464</v>
      </c>
      <c r="L78">
        <v>222680.01245778278</v>
      </c>
    </row>
    <row r="79" spans="1:12" x14ac:dyDescent="0.45">
      <c r="A79">
        <v>3014.7</v>
      </c>
      <c r="B79">
        <v>200</v>
      </c>
      <c r="C79">
        <v>3550.3828516865879</v>
      </c>
      <c r="D79">
        <v>5112.5513064286852</v>
      </c>
      <c r="E79">
        <v>6958.7503893057119</v>
      </c>
      <c r="F79">
        <v>8202.8045405366902</v>
      </c>
      <c r="G79">
        <v>12816.882094588578</v>
      </c>
      <c r="H79">
        <v>18781.525285422045</v>
      </c>
      <c r="I79">
        <v>27835.001557222848</v>
      </c>
      <c r="J79">
        <v>46012.961757858175</v>
      </c>
      <c r="K79">
        <v>68735.412008652318</v>
      </c>
      <c r="L79">
        <v>111340.00622889139</v>
      </c>
    </row>
    <row r="80" spans="1:12" x14ac:dyDescent="0.45">
      <c r="A80">
        <v>3014.7</v>
      </c>
      <c r="B80">
        <v>300</v>
      </c>
      <c r="C80">
        <v>2366.9219011243918</v>
      </c>
      <c r="D80">
        <v>3408.3675376191236</v>
      </c>
      <c r="E80">
        <v>4639.1669262038076</v>
      </c>
      <c r="F80">
        <v>5468.5363603577935</v>
      </c>
      <c r="G80">
        <v>8544.5880630590527</v>
      </c>
      <c r="H80">
        <v>12521.01685694803</v>
      </c>
      <c r="I80">
        <v>18556.667704815231</v>
      </c>
      <c r="J80">
        <v>30675.307838572116</v>
      </c>
      <c r="K80">
        <v>45823.608005768219</v>
      </c>
      <c r="L80">
        <v>74226.670819260922</v>
      </c>
    </row>
    <row r="81" spans="1:12" x14ac:dyDescent="0.45">
      <c r="A81">
        <v>3014.7</v>
      </c>
      <c r="B81">
        <v>400</v>
      </c>
      <c r="C81">
        <v>1775.1914258432939</v>
      </c>
      <c r="D81">
        <v>2556.2756532143426</v>
      </c>
      <c r="E81">
        <v>3479.375194652856</v>
      </c>
      <c r="F81">
        <v>4101.4022702683451</v>
      </c>
      <c r="G81">
        <v>6408.4410472942891</v>
      </c>
      <c r="H81">
        <v>9390.7626427110226</v>
      </c>
      <c r="I81">
        <v>13917.500778611424</v>
      </c>
      <c r="J81">
        <v>23006.480878929087</v>
      </c>
      <c r="K81">
        <v>34367.706004326159</v>
      </c>
      <c r="L81">
        <v>55670.003114445695</v>
      </c>
    </row>
    <row r="82" spans="1:12" x14ac:dyDescent="0.45">
      <c r="A82">
        <v>3014.7</v>
      </c>
      <c r="B82">
        <v>500</v>
      </c>
      <c r="C82">
        <v>1420.1531406746351</v>
      </c>
      <c r="D82">
        <v>2045.020522571474</v>
      </c>
      <c r="E82">
        <v>2783.5001557222845</v>
      </c>
      <c r="F82">
        <v>3281.1218162146761</v>
      </c>
      <c r="G82">
        <v>5126.7528378354309</v>
      </c>
      <c r="H82">
        <v>7512.6101141688177</v>
      </c>
      <c r="I82">
        <v>11134.000622889138</v>
      </c>
      <c r="J82">
        <v>18405.18470314327</v>
      </c>
      <c r="K82">
        <v>27494.164803460928</v>
      </c>
      <c r="L82">
        <v>44536.002491556552</v>
      </c>
    </row>
    <row r="83" spans="1:12" x14ac:dyDescent="0.45">
      <c r="A83">
        <v>3014.7</v>
      </c>
      <c r="B83">
        <v>600</v>
      </c>
      <c r="C83">
        <v>1183.4609505621959</v>
      </c>
      <c r="D83">
        <v>1704.1837688095618</v>
      </c>
      <c r="E83">
        <v>2319.5834631019038</v>
      </c>
      <c r="F83">
        <v>2734.2681801788967</v>
      </c>
      <c r="G83">
        <v>4272.2940315295264</v>
      </c>
      <c r="H83">
        <v>6260.5084284740151</v>
      </c>
      <c r="I83">
        <v>9278.3338524076153</v>
      </c>
      <c r="J83">
        <v>15337.653919286058</v>
      </c>
      <c r="K83">
        <v>22911.80400288411</v>
      </c>
      <c r="L83">
        <v>37113.335409630461</v>
      </c>
    </row>
    <row r="84" spans="1:12" x14ac:dyDescent="0.45">
      <c r="A84">
        <v>3014.7</v>
      </c>
      <c r="B84">
        <v>700</v>
      </c>
      <c r="C84">
        <v>1014.3951004818822</v>
      </c>
      <c r="D84">
        <v>1460.7289446939101</v>
      </c>
      <c r="E84">
        <v>1988.214396944489</v>
      </c>
      <c r="F84">
        <v>2343.6584401533401</v>
      </c>
      <c r="G84">
        <v>3661.9663127395938</v>
      </c>
      <c r="H84">
        <v>5366.1500815491554</v>
      </c>
      <c r="I84">
        <v>7952.8575877779558</v>
      </c>
      <c r="J84">
        <v>13146.560502245193</v>
      </c>
      <c r="K84">
        <v>19638.689145329234</v>
      </c>
      <c r="L84">
        <v>31811.430351111823</v>
      </c>
    </row>
    <row r="85" spans="1:12" x14ac:dyDescent="0.45">
      <c r="A85">
        <v>3014.7</v>
      </c>
      <c r="B85">
        <v>800</v>
      </c>
      <c r="C85">
        <v>887.59571292164696</v>
      </c>
      <c r="D85">
        <v>1278.1378266071713</v>
      </c>
      <c r="E85">
        <v>1739.687597326428</v>
      </c>
      <c r="F85">
        <v>2050.7011351341725</v>
      </c>
      <c r="G85">
        <v>3204.2205236471445</v>
      </c>
      <c r="H85">
        <v>4695.3813213555113</v>
      </c>
      <c r="I85">
        <v>6958.7503893057119</v>
      </c>
      <c r="J85">
        <v>11503.240439464544</v>
      </c>
      <c r="K85">
        <v>17183.85300216308</v>
      </c>
      <c r="L85">
        <v>27835.001557222848</v>
      </c>
    </row>
    <row r="86" spans="1:12" x14ac:dyDescent="0.45">
      <c r="A86">
        <v>3014.7</v>
      </c>
      <c r="B86">
        <v>900</v>
      </c>
      <c r="C86">
        <v>788.97396704146388</v>
      </c>
      <c r="D86">
        <v>1136.1225125397077</v>
      </c>
      <c r="E86">
        <v>1546.3889754012694</v>
      </c>
      <c r="F86">
        <v>1822.8454534525979</v>
      </c>
      <c r="G86">
        <v>2848.1960210196839</v>
      </c>
      <c r="H86">
        <v>4173.6722856493434</v>
      </c>
      <c r="I86">
        <v>6185.5559016050775</v>
      </c>
      <c r="J86">
        <v>10225.102612857372</v>
      </c>
      <c r="K86">
        <v>15274.536001922739</v>
      </c>
      <c r="L86">
        <v>24742.22360642031</v>
      </c>
    </row>
    <row r="87" spans="1:12" x14ac:dyDescent="0.45">
      <c r="A87">
        <v>3014.7</v>
      </c>
      <c r="B87">
        <v>1000</v>
      </c>
      <c r="C87">
        <v>710.07657033731755</v>
      </c>
      <c r="D87">
        <v>1022.510261285737</v>
      </c>
      <c r="E87">
        <v>1391.7500778611422</v>
      </c>
      <c r="F87">
        <v>1640.560908107338</v>
      </c>
      <c r="G87">
        <v>2563.3764189177155</v>
      </c>
      <c r="H87">
        <v>3756.3050570844089</v>
      </c>
      <c r="I87">
        <v>5567.000311444569</v>
      </c>
      <c r="J87">
        <v>9202.5923515716349</v>
      </c>
      <c r="K87">
        <v>13747.082401730464</v>
      </c>
      <c r="L87">
        <v>22268.001245778276</v>
      </c>
    </row>
    <row r="88" spans="1:12" x14ac:dyDescent="0.45">
      <c r="A88">
        <v>3014.7</v>
      </c>
      <c r="B88">
        <v>2000</v>
      </c>
      <c r="C88">
        <v>355.03828516865877</v>
      </c>
      <c r="D88">
        <v>511.25513064286849</v>
      </c>
      <c r="E88">
        <v>695.87503893057112</v>
      </c>
      <c r="F88">
        <v>820.28045405366902</v>
      </c>
      <c r="G88">
        <v>1281.6882094588577</v>
      </c>
      <c r="H88">
        <v>1878.1525285422044</v>
      </c>
      <c r="I88">
        <v>2783.5001557222845</v>
      </c>
      <c r="J88">
        <v>4601.2961757858175</v>
      </c>
      <c r="K88">
        <v>6873.541200865232</v>
      </c>
      <c r="L88">
        <v>11134.000622889138</v>
      </c>
    </row>
    <row r="89" spans="1:12" x14ac:dyDescent="0.45">
      <c r="A89">
        <v>3014.7</v>
      </c>
      <c r="B89">
        <v>3000</v>
      </c>
      <c r="C89">
        <v>236.69219011243919</v>
      </c>
      <c r="D89">
        <v>340.83675376191235</v>
      </c>
      <c r="E89">
        <v>463.91669262038079</v>
      </c>
      <c r="F89">
        <v>546.85363603577935</v>
      </c>
      <c r="G89">
        <v>854.45880630590523</v>
      </c>
      <c r="H89">
        <v>1252.1016856948031</v>
      </c>
      <c r="I89">
        <v>1855.6667704815231</v>
      </c>
      <c r="J89">
        <v>3067.5307838572116</v>
      </c>
      <c r="K89">
        <v>4582.3608005768219</v>
      </c>
      <c r="L89">
        <v>7422.6670819260926</v>
      </c>
    </row>
    <row r="90" spans="1:12" x14ac:dyDescent="0.45">
      <c r="A90">
        <v>3014.7</v>
      </c>
      <c r="B90">
        <v>4000</v>
      </c>
      <c r="C90">
        <v>177.51914258432939</v>
      </c>
      <c r="D90">
        <v>255.62756532143425</v>
      </c>
      <c r="E90">
        <v>347.93751946528556</v>
      </c>
      <c r="F90">
        <v>410.14022702683451</v>
      </c>
      <c r="G90">
        <v>640.84410472942886</v>
      </c>
      <c r="H90">
        <v>939.07626427110222</v>
      </c>
      <c r="I90">
        <v>1391.7500778611422</v>
      </c>
      <c r="J90">
        <v>2300.6480878929087</v>
      </c>
      <c r="K90">
        <v>3436.770600432616</v>
      </c>
      <c r="L90">
        <v>5567.000311444569</v>
      </c>
    </row>
    <row r="91" spans="1:12" x14ac:dyDescent="0.45">
      <c r="A91">
        <v>3014.7</v>
      </c>
      <c r="B91">
        <v>5000</v>
      </c>
      <c r="C91">
        <v>142.01531406746352</v>
      </c>
      <c r="D91">
        <v>204.5020522571474</v>
      </c>
      <c r="E91">
        <v>278.35001557222847</v>
      </c>
      <c r="F91">
        <v>328.11218162146758</v>
      </c>
      <c r="G91">
        <v>512.67528378354314</v>
      </c>
      <c r="H91">
        <v>751.26101141688184</v>
      </c>
      <c r="I91">
        <v>1113.4000622889139</v>
      </c>
      <c r="J91">
        <v>1840.5184703143268</v>
      </c>
      <c r="K91">
        <v>2749.4164803460931</v>
      </c>
      <c r="L91">
        <v>4453.6002491556555</v>
      </c>
    </row>
    <row r="92" spans="1:12" x14ac:dyDescent="0.45">
      <c r="A92">
        <v>3014.7</v>
      </c>
      <c r="B92">
        <v>5000</v>
      </c>
      <c r="C92">
        <v>142.01531406746352</v>
      </c>
      <c r="D92">
        <v>204.5020522571474</v>
      </c>
      <c r="E92">
        <v>278.35001557222847</v>
      </c>
      <c r="F92">
        <v>328.11218162146758</v>
      </c>
      <c r="G92">
        <v>512.67528378354314</v>
      </c>
      <c r="H92">
        <v>751.26101141688184</v>
      </c>
      <c r="I92">
        <v>1113.4000622889139</v>
      </c>
      <c r="J92">
        <v>1840.5184703143268</v>
      </c>
      <c r="K92">
        <v>2749.4164803460931</v>
      </c>
      <c r="L92">
        <v>4453.6002491556555</v>
      </c>
    </row>
    <row r="93" spans="1:12" x14ac:dyDescent="0.45">
      <c r="A93">
        <v>3014.7</v>
      </c>
      <c r="B93">
        <v>6000</v>
      </c>
      <c r="C93">
        <v>118.3460950562196</v>
      </c>
      <c r="D93">
        <v>170.41837688095617</v>
      </c>
      <c r="E93">
        <v>231.95834631019039</v>
      </c>
      <c r="F93">
        <v>273.42681801788967</v>
      </c>
      <c r="G93">
        <v>427.22940315295261</v>
      </c>
      <c r="H93">
        <v>626.05084284740155</v>
      </c>
      <c r="I93">
        <v>927.83338524076157</v>
      </c>
      <c r="J93">
        <v>1533.7653919286058</v>
      </c>
      <c r="K93">
        <v>2291.180400288411</v>
      </c>
      <c r="L93">
        <v>3711.3335409630463</v>
      </c>
    </row>
    <row r="94" spans="1:12" ht="35" x14ac:dyDescent="0.45">
      <c r="C94" s="6" t="str">
        <f>C$2&amp;""" "&amp;$A95-14.7&amp;"psig"</f>
        <v>1.25" 4000psig</v>
      </c>
      <c r="D94" s="6" t="str">
        <f>D$2&amp;""" "&amp;$A95-14.7&amp;"psig"</f>
        <v>1.5" 4000psig</v>
      </c>
      <c r="E94" s="6" t="str">
        <f>E$2&amp;""" "&amp;$A95-14.7&amp;"psig"</f>
        <v>1.75" 4000psig</v>
      </c>
      <c r="F94" s="6" t="str">
        <f>F$2&amp;""" "&amp;$A95-14.7&amp;"psig"</f>
        <v>1.9" 4000psig</v>
      </c>
      <c r="G94" s="6" t="str">
        <f>G$2&amp;""" "&amp;$A95-14.7&amp;"psig"</f>
        <v>2.375" 4000psig</v>
      </c>
      <c r="H94" s="6" t="str">
        <f>H$2&amp;""" "&amp;$A95-14.7&amp;"psig"</f>
        <v>2.875" 4000psig</v>
      </c>
      <c r="I94" s="6" t="str">
        <f>I$2&amp;""" "&amp;$A95-14.7&amp;"psig"</f>
        <v>3.5" 4000psig</v>
      </c>
      <c r="J94" s="6" t="str">
        <f>J$2&amp;""" "&amp;$A95-14.7&amp;"psig"</f>
        <v>4.5" 4000psig</v>
      </c>
      <c r="K94" s="6" t="str">
        <f>K$2&amp;""" "&amp;$A95-14.7&amp;"psig"</f>
        <v>5.5" 4000psig</v>
      </c>
      <c r="L94" s="6" t="str">
        <f>L$2&amp;""" "&amp;$A95-14.7&amp;"psig"</f>
        <v>7" 4000psig</v>
      </c>
    </row>
    <row r="95" spans="1:12" x14ac:dyDescent="0.45">
      <c r="A95">
        <v>4014.7</v>
      </c>
      <c r="B95">
        <v>10</v>
      </c>
      <c r="C95">
        <v>78128.120596174456</v>
      </c>
      <c r="D95">
        <v>112504.49365849122</v>
      </c>
      <c r="E95">
        <v>153131.11636850194</v>
      </c>
      <c r="F95">
        <v>180507.20982540149</v>
      </c>
      <c r="G95">
        <v>282042.51535218977</v>
      </c>
      <c r="H95">
        <v>413297.75795376289</v>
      </c>
      <c r="I95">
        <v>612524.46547400777</v>
      </c>
      <c r="J95">
        <v>1012540.4429264208</v>
      </c>
      <c r="K95">
        <v>1512560.4147419375</v>
      </c>
      <c r="L95">
        <v>2450097.8618960311</v>
      </c>
    </row>
    <row r="96" spans="1:12" x14ac:dyDescent="0.45">
      <c r="A96">
        <v>4014.7</v>
      </c>
      <c r="B96">
        <v>50</v>
      </c>
      <c r="C96">
        <v>15625.62411923489</v>
      </c>
      <c r="D96">
        <v>22500.898731698246</v>
      </c>
      <c r="E96">
        <v>30626.223273700387</v>
      </c>
      <c r="F96">
        <v>36101.441965080296</v>
      </c>
      <c r="G96">
        <v>56408.503070437953</v>
      </c>
      <c r="H96">
        <v>82659.55159075257</v>
      </c>
      <c r="I96">
        <v>122504.89309480155</v>
      </c>
      <c r="J96">
        <v>202508.08858528416</v>
      </c>
      <c r="K96">
        <v>302512.08294838748</v>
      </c>
      <c r="L96">
        <v>490019.57237920619</v>
      </c>
    </row>
    <row r="97" spans="1:12" x14ac:dyDescent="0.45">
      <c r="A97">
        <v>4014.7</v>
      </c>
      <c r="B97">
        <v>100</v>
      </c>
      <c r="C97">
        <v>7812.8120596174449</v>
      </c>
      <c r="D97">
        <v>11250.449365849123</v>
      </c>
      <c r="E97">
        <v>15313.111636850193</v>
      </c>
      <c r="F97">
        <v>18050.720982540148</v>
      </c>
      <c r="G97">
        <v>28204.251535218977</v>
      </c>
      <c r="H97">
        <v>41329.775795376285</v>
      </c>
      <c r="I97">
        <v>61252.446547400774</v>
      </c>
      <c r="J97">
        <v>101254.04429264208</v>
      </c>
      <c r="K97">
        <v>151256.04147419374</v>
      </c>
      <c r="L97">
        <v>245009.7861896031</v>
      </c>
    </row>
    <row r="98" spans="1:12" x14ac:dyDescent="0.45">
      <c r="A98">
        <v>4014.7</v>
      </c>
      <c r="B98">
        <v>200</v>
      </c>
      <c r="C98">
        <v>3906.4060298087225</v>
      </c>
      <c r="D98">
        <v>5625.2246829245614</v>
      </c>
      <c r="E98">
        <v>7656.5558184250967</v>
      </c>
      <c r="F98">
        <v>9025.3604912700739</v>
      </c>
      <c r="G98">
        <v>14102.125767609488</v>
      </c>
      <c r="H98">
        <v>20664.887897688142</v>
      </c>
      <c r="I98">
        <v>30626.223273700387</v>
      </c>
      <c r="J98">
        <v>50627.02214632104</v>
      </c>
      <c r="K98">
        <v>75628.020737096871</v>
      </c>
      <c r="L98">
        <v>122504.89309480155</v>
      </c>
    </row>
    <row r="99" spans="1:12" x14ac:dyDescent="0.45">
      <c r="A99">
        <v>4014.7</v>
      </c>
      <c r="B99">
        <v>300</v>
      </c>
      <c r="C99">
        <v>2604.2706865391483</v>
      </c>
      <c r="D99">
        <v>3750.1497886163743</v>
      </c>
      <c r="E99">
        <v>5104.3705456167309</v>
      </c>
      <c r="F99">
        <v>6016.906994180049</v>
      </c>
      <c r="G99">
        <v>9401.4171784063255</v>
      </c>
      <c r="H99">
        <v>13776.591931792096</v>
      </c>
      <c r="I99">
        <v>20417.482182466923</v>
      </c>
      <c r="J99">
        <v>33751.348097547358</v>
      </c>
      <c r="K99">
        <v>50418.680491397914</v>
      </c>
      <c r="L99">
        <v>81669.928729867694</v>
      </c>
    </row>
    <row r="100" spans="1:12" x14ac:dyDescent="0.45">
      <c r="A100">
        <v>4014.7</v>
      </c>
      <c r="B100">
        <v>400</v>
      </c>
      <c r="C100">
        <v>1953.2030149043612</v>
      </c>
      <c r="D100">
        <v>2812.6123414622807</v>
      </c>
      <c r="E100">
        <v>3828.2779092125484</v>
      </c>
      <c r="F100">
        <v>4512.680245635037</v>
      </c>
      <c r="G100">
        <v>7051.0628838047442</v>
      </c>
      <c r="H100">
        <v>10332.443948844071</v>
      </c>
      <c r="I100">
        <v>15313.111636850193</v>
      </c>
      <c r="J100">
        <v>25313.51107316052</v>
      </c>
      <c r="K100">
        <v>37814.010368548436</v>
      </c>
      <c r="L100">
        <v>61252.446547400774</v>
      </c>
    </row>
    <row r="101" spans="1:12" x14ac:dyDescent="0.45">
      <c r="A101">
        <v>4014.7</v>
      </c>
      <c r="B101">
        <v>500</v>
      </c>
      <c r="C101">
        <v>1562.562411923489</v>
      </c>
      <c r="D101">
        <v>2250.0898731698244</v>
      </c>
      <c r="E101">
        <v>3062.6223273700389</v>
      </c>
      <c r="F101">
        <v>3610.1441965080294</v>
      </c>
      <c r="G101">
        <v>5640.8503070437955</v>
      </c>
      <c r="H101">
        <v>8265.9551590752581</v>
      </c>
      <c r="I101">
        <v>12250.489309480155</v>
      </c>
      <c r="J101">
        <v>20250.808858528417</v>
      </c>
      <c r="K101">
        <v>30251.208294838751</v>
      </c>
      <c r="L101">
        <v>49001.957237920622</v>
      </c>
    </row>
    <row r="102" spans="1:12" x14ac:dyDescent="0.45">
      <c r="A102">
        <v>4014.7</v>
      </c>
      <c r="B102">
        <v>600</v>
      </c>
      <c r="C102">
        <v>1302.1353432695742</v>
      </c>
      <c r="D102">
        <v>1875.0748943081871</v>
      </c>
      <c r="E102">
        <v>2552.1852728083654</v>
      </c>
      <c r="F102">
        <v>3008.4534970900245</v>
      </c>
      <c r="G102">
        <v>4700.7085892031628</v>
      </c>
      <c r="H102">
        <v>6888.2959658960481</v>
      </c>
      <c r="I102">
        <v>10208.741091233462</v>
      </c>
      <c r="J102">
        <v>16875.674048773679</v>
      </c>
      <c r="K102">
        <v>25209.340245698957</v>
      </c>
      <c r="L102">
        <v>40834.964364933847</v>
      </c>
    </row>
    <row r="103" spans="1:12" x14ac:dyDescent="0.45">
      <c r="A103">
        <v>4014.7</v>
      </c>
      <c r="B103">
        <v>700</v>
      </c>
      <c r="C103">
        <v>1116.1160085167778</v>
      </c>
      <c r="D103">
        <v>1607.2070522641604</v>
      </c>
      <c r="E103">
        <v>2187.5873766928848</v>
      </c>
      <c r="F103">
        <v>2578.6744260771638</v>
      </c>
      <c r="G103">
        <v>4029.1787907455682</v>
      </c>
      <c r="H103">
        <v>5904.2536850537554</v>
      </c>
      <c r="I103">
        <v>8750.3495067715394</v>
      </c>
      <c r="J103">
        <v>14464.863470377441</v>
      </c>
      <c r="K103">
        <v>21608.005924884819</v>
      </c>
      <c r="L103">
        <v>35001.398027086158</v>
      </c>
    </row>
    <row r="104" spans="1:12" x14ac:dyDescent="0.45">
      <c r="A104">
        <v>4014.7</v>
      </c>
      <c r="B104">
        <v>800</v>
      </c>
      <c r="C104">
        <v>976.60150745218061</v>
      </c>
      <c r="D104">
        <v>1406.3061707311404</v>
      </c>
      <c r="E104">
        <v>1914.1389546062742</v>
      </c>
      <c r="F104">
        <v>2256.3401228175185</v>
      </c>
      <c r="G104">
        <v>3525.5314419023721</v>
      </c>
      <c r="H104">
        <v>5166.2219744220356</v>
      </c>
      <c r="I104">
        <v>7656.5558184250967</v>
      </c>
      <c r="J104">
        <v>12656.75553658026</v>
      </c>
      <c r="K104">
        <v>18907.005184274218</v>
      </c>
      <c r="L104">
        <v>30626.223273700387</v>
      </c>
    </row>
    <row r="105" spans="1:12" x14ac:dyDescent="0.45">
      <c r="A105">
        <v>4014.7</v>
      </c>
      <c r="B105">
        <v>900</v>
      </c>
      <c r="C105">
        <v>868.09022884638284</v>
      </c>
      <c r="D105">
        <v>1250.0499295387913</v>
      </c>
      <c r="E105">
        <v>1701.4568485389104</v>
      </c>
      <c r="F105">
        <v>2005.635664726683</v>
      </c>
      <c r="G105">
        <v>3133.805726135442</v>
      </c>
      <c r="H105">
        <v>4592.1973105973648</v>
      </c>
      <c r="I105">
        <v>6805.8273941556417</v>
      </c>
      <c r="J105">
        <v>11250.449365849121</v>
      </c>
      <c r="K105">
        <v>16806.22683046597</v>
      </c>
      <c r="L105">
        <v>27223.309576622567</v>
      </c>
    </row>
    <row r="106" spans="1:12" x14ac:dyDescent="0.45">
      <c r="A106">
        <v>4014.7</v>
      </c>
      <c r="B106">
        <v>1000</v>
      </c>
      <c r="C106">
        <v>781.28120596174449</v>
      </c>
      <c r="D106">
        <v>1125.0449365849122</v>
      </c>
      <c r="E106">
        <v>1531.3111636850194</v>
      </c>
      <c r="F106">
        <v>1805.0720982540147</v>
      </c>
      <c r="G106">
        <v>2820.4251535218978</v>
      </c>
      <c r="H106">
        <v>4132.977579537629</v>
      </c>
      <c r="I106">
        <v>6125.2446547400777</v>
      </c>
      <c r="J106">
        <v>10125.404429264208</v>
      </c>
      <c r="K106">
        <v>15125.604147419375</v>
      </c>
      <c r="L106">
        <v>24500.978618960311</v>
      </c>
    </row>
    <row r="107" spans="1:12" x14ac:dyDescent="0.45">
      <c r="A107">
        <v>4014.7</v>
      </c>
      <c r="B107">
        <v>2000</v>
      </c>
      <c r="C107">
        <v>390.64060298087225</v>
      </c>
      <c r="D107">
        <v>562.5224682924561</v>
      </c>
      <c r="E107">
        <v>765.65558184250972</v>
      </c>
      <c r="F107">
        <v>902.53604912700735</v>
      </c>
      <c r="G107">
        <v>1410.2125767609489</v>
      </c>
      <c r="H107">
        <v>2066.4887897688145</v>
      </c>
      <c r="I107">
        <v>3062.6223273700389</v>
      </c>
      <c r="J107">
        <v>5062.7022146321042</v>
      </c>
      <c r="K107">
        <v>7562.8020737096876</v>
      </c>
      <c r="L107">
        <v>12250.489309480155</v>
      </c>
    </row>
    <row r="108" spans="1:12" x14ac:dyDescent="0.45">
      <c r="A108">
        <v>4014.7</v>
      </c>
      <c r="B108">
        <v>3000</v>
      </c>
      <c r="C108">
        <v>260.42706865391483</v>
      </c>
      <c r="D108">
        <v>375.01497886163742</v>
      </c>
      <c r="E108">
        <v>510.43705456167311</v>
      </c>
      <c r="F108">
        <v>601.6906994180049</v>
      </c>
      <c r="G108">
        <v>940.14171784063262</v>
      </c>
      <c r="H108">
        <v>1377.6591931792095</v>
      </c>
      <c r="I108">
        <v>2041.7482182466924</v>
      </c>
      <c r="J108">
        <v>3375.1348097547361</v>
      </c>
      <c r="K108">
        <v>5041.8680491397918</v>
      </c>
      <c r="L108">
        <v>8166.9928729867697</v>
      </c>
    </row>
    <row r="109" spans="1:12" x14ac:dyDescent="0.45">
      <c r="A109">
        <v>4014.7</v>
      </c>
      <c r="B109">
        <v>4000</v>
      </c>
      <c r="C109">
        <v>195.32030149043612</v>
      </c>
      <c r="D109">
        <v>281.26123414622805</v>
      </c>
      <c r="E109">
        <v>382.82779092125486</v>
      </c>
      <c r="F109">
        <v>451.26802456350367</v>
      </c>
      <c r="G109">
        <v>705.10628838047444</v>
      </c>
      <c r="H109">
        <v>1033.2443948844073</v>
      </c>
      <c r="I109">
        <v>1531.3111636850194</v>
      </c>
      <c r="J109">
        <v>2531.3511073160521</v>
      </c>
      <c r="K109">
        <v>3781.4010368548438</v>
      </c>
      <c r="L109">
        <v>6125.2446547400777</v>
      </c>
    </row>
    <row r="110" spans="1:12" x14ac:dyDescent="0.45">
      <c r="A110">
        <v>4014.7</v>
      </c>
      <c r="B110">
        <v>5000</v>
      </c>
      <c r="C110">
        <v>156.25624119234891</v>
      </c>
      <c r="D110">
        <v>225.00898731698246</v>
      </c>
      <c r="E110">
        <v>306.2622327370039</v>
      </c>
      <c r="F110">
        <v>361.01441965080295</v>
      </c>
      <c r="G110">
        <v>564.08503070437951</v>
      </c>
      <c r="H110">
        <v>826.59551590752574</v>
      </c>
      <c r="I110">
        <v>1225.0489309480156</v>
      </c>
      <c r="J110">
        <v>2025.0808858528417</v>
      </c>
      <c r="K110">
        <v>3025.1208294838748</v>
      </c>
      <c r="L110">
        <v>4900.1957237920624</v>
      </c>
    </row>
    <row r="111" spans="1:12" x14ac:dyDescent="0.45">
      <c r="A111">
        <v>4014.7</v>
      </c>
      <c r="B111">
        <v>6000</v>
      </c>
      <c r="C111">
        <v>130.21353432695742</v>
      </c>
      <c r="D111">
        <v>187.50748943081871</v>
      </c>
      <c r="E111">
        <v>255.21852728083655</v>
      </c>
      <c r="F111">
        <v>300.84534970900245</v>
      </c>
      <c r="G111">
        <v>470.07085892031631</v>
      </c>
      <c r="H111">
        <v>688.82959658960476</v>
      </c>
      <c r="I111">
        <v>1020.8741091233462</v>
      </c>
      <c r="J111">
        <v>1687.5674048773681</v>
      </c>
      <c r="K111">
        <v>2520.9340245698959</v>
      </c>
      <c r="L111">
        <v>4083.4964364933849</v>
      </c>
    </row>
    <row r="112" spans="1:12" ht="35" x14ac:dyDescent="0.45">
      <c r="C112" s="6" t="str">
        <f>C$2&amp;""" "&amp;$A113-14.7&amp;"psig"</f>
        <v>1.25" 5000psig</v>
      </c>
      <c r="D112" s="6" t="str">
        <f>D$2&amp;""" "&amp;$A113-14.7&amp;"psig"</f>
        <v>1.5" 5000psig</v>
      </c>
      <c r="E112" s="6" t="str">
        <f>E$2&amp;""" "&amp;$A113-14.7&amp;"psig"</f>
        <v>1.75" 5000psig</v>
      </c>
      <c r="F112" s="6" t="str">
        <f>F$2&amp;""" "&amp;$A113-14.7&amp;"psig"</f>
        <v>1.9" 5000psig</v>
      </c>
      <c r="G112" s="6" t="str">
        <f>G$2&amp;""" "&amp;$A113-14.7&amp;"psig"</f>
        <v>2.375" 5000psig</v>
      </c>
      <c r="H112" s="6" t="str">
        <f>H$2&amp;""" "&amp;$A113-14.7&amp;"psig"</f>
        <v>2.875" 5000psig</v>
      </c>
      <c r="I112" s="6" t="str">
        <f>I$2&amp;""" "&amp;$A113-14.7&amp;"psig"</f>
        <v>3.5" 5000psig</v>
      </c>
      <c r="J112" s="6" t="str">
        <f>J$2&amp;""" "&amp;$A113-14.7&amp;"psig"</f>
        <v>4.5" 5000psig</v>
      </c>
      <c r="K112" s="6" t="str">
        <f>K$2&amp;""" "&amp;$A113-14.7&amp;"psig"</f>
        <v>5.5" 5000psig</v>
      </c>
      <c r="L112" s="6" t="str">
        <f>L$2&amp;""" "&amp;$A113-14.7&amp;"psig"</f>
        <v>7" 5000psig</v>
      </c>
    </row>
    <row r="113" spans="1:12" x14ac:dyDescent="0.45">
      <c r="A113">
        <v>5014.7</v>
      </c>
      <c r="B113">
        <v>10</v>
      </c>
      <c r="C113">
        <v>82703.279466858556</v>
      </c>
      <c r="D113">
        <v>119092.72243227631</v>
      </c>
      <c r="E113">
        <v>162098.42775504274</v>
      </c>
      <c r="F113">
        <v>191077.65688022997</v>
      </c>
      <c r="G113">
        <v>298558.83887535927</v>
      </c>
      <c r="H113">
        <v>437500.34837968164</v>
      </c>
      <c r="I113">
        <v>648393.71102017094</v>
      </c>
      <c r="J113">
        <v>1071834.5018904868</v>
      </c>
      <c r="K113">
        <v>1601135.490478381</v>
      </c>
      <c r="L113">
        <v>2593574.8440806838</v>
      </c>
    </row>
    <row r="114" spans="1:12" x14ac:dyDescent="0.45">
      <c r="A114">
        <v>5014.7</v>
      </c>
      <c r="B114">
        <v>50</v>
      </c>
      <c r="C114">
        <v>16540.65589337171</v>
      </c>
      <c r="D114">
        <v>23818.544486455259</v>
      </c>
      <c r="E114">
        <v>32419.685551008548</v>
      </c>
      <c r="F114">
        <v>38215.53137604599</v>
      </c>
      <c r="G114">
        <v>59711.767775071858</v>
      </c>
      <c r="H114">
        <v>87500.06967593632</v>
      </c>
      <c r="I114">
        <v>129678.74220403419</v>
      </c>
      <c r="J114">
        <v>214366.90037809737</v>
      </c>
      <c r="K114">
        <v>320227.09809567622</v>
      </c>
      <c r="L114">
        <v>518714.96881613677</v>
      </c>
    </row>
    <row r="115" spans="1:12" x14ac:dyDescent="0.45">
      <c r="A115">
        <v>5014.7</v>
      </c>
      <c r="B115">
        <v>100</v>
      </c>
      <c r="C115">
        <v>8270.3279466858548</v>
      </c>
      <c r="D115">
        <v>11909.27224322763</v>
      </c>
      <c r="E115">
        <v>16209.842775504274</v>
      </c>
      <c r="F115">
        <v>19107.765688022995</v>
      </c>
      <c r="G115">
        <v>29855.883887535929</v>
      </c>
      <c r="H115">
        <v>43750.03483796816</v>
      </c>
      <c r="I115">
        <v>64839.371102017096</v>
      </c>
      <c r="J115">
        <v>107183.45018904869</v>
      </c>
      <c r="K115">
        <v>160113.54904783811</v>
      </c>
      <c r="L115">
        <v>259357.48440806838</v>
      </c>
    </row>
    <row r="116" spans="1:12" x14ac:dyDescent="0.45">
      <c r="A116">
        <v>5014.7</v>
      </c>
      <c r="B116">
        <v>200</v>
      </c>
      <c r="C116">
        <v>4135.1639733429274</v>
      </c>
      <c r="D116">
        <v>5954.6361216138148</v>
      </c>
      <c r="E116">
        <v>8104.921387752137</v>
      </c>
      <c r="F116">
        <v>9553.8828440114976</v>
      </c>
      <c r="G116">
        <v>14927.941943767964</v>
      </c>
      <c r="H116">
        <v>21875.01741898408</v>
      </c>
      <c r="I116">
        <v>32419.685551008548</v>
      </c>
      <c r="J116">
        <v>53591.725094524343</v>
      </c>
      <c r="K116">
        <v>80056.774523919055</v>
      </c>
      <c r="L116">
        <v>129678.74220403419</v>
      </c>
    </row>
    <row r="117" spans="1:12" x14ac:dyDescent="0.45">
      <c r="A117">
        <v>5014.7</v>
      </c>
      <c r="B117">
        <v>300</v>
      </c>
      <c r="C117">
        <v>2756.7759822286184</v>
      </c>
      <c r="D117">
        <v>3969.75741440921</v>
      </c>
      <c r="E117">
        <v>5403.2809251680919</v>
      </c>
      <c r="F117">
        <v>6369.255229340999</v>
      </c>
      <c r="G117">
        <v>9951.961295845309</v>
      </c>
      <c r="H117">
        <v>14583.344945989387</v>
      </c>
      <c r="I117">
        <v>21613.123700672368</v>
      </c>
      <c r="J117">
        <v>35727.816729682898</v>
      </c>
      <c r="K117">
        <v>53371.183015946037</v>
      </c>
      <c r="L117">
        <v>86452.494802689471</v>
      </c>
    </row>
    <row r="118" spans="1:12" x14ac:dyDescent="0.45">
      <c r="A118">
        <v>5014.7</v>
      </c>
      <c r="B118">
        <v>400</v>
      </c>
      <c r="C118">
        <v>2067.5819866714637</v>
      </c>
      <c r="D118">
        <v>2977.3180608069074</v>
      </c>
      <c r="E118">
        <v>4052.4606938760685</v>
      </c>
      <c r="F118">
        <v>4776.9414220057488</v>
      </c>
      <c r="G118">
        <v>7463.9709718839822</v>
      </c>
      <c r="H118">
        <v>10937.50870949204</v>
      </c>
      <c r="I118">
        <v>16209.842775504274</v>
      </c>
      <c r="J118">
        <v>26795.862547262172</v>
      </c>
      <c r="K118">
        <v>40028.387261959528</v>
      </c>
      <c r="L118">
        <v>64839.371102017096</v>
      </c>
    </row>
    <row r="119" spans="1:12" x14ac:dyDescent="0.45">
      <c r="A119">
        <v>5014.7</v>
      </c>
      <c r="B119">
        <v>500</v>
      </c>
      <c r="C119">
        <v>1654.0655893371711</v>
      </c>
      <c r="D119">
        <v>2381.8544486455262</v>
      </c>
      <c r="E119">
        <v>3241.9685551008552</v>
      </c>
      <c r="F119">
        <v>3821.5531376045992</v>
      </c>
      <c r="G119">
        <v>5971.1767775071858</v>
      </c>
      <c r="H119">
        <v>8750.006967593632</v>
      </c>
      <c r="I119">
        <v>12967.874220403421</v>
      </c>
      <c r="J119">
        <v>21436.690037809738</v>
      </c>
      <c r="K119">
        <v>32022.709809567623</v>
      </c>
      <c r="L119">
        <v>51871.496881613682</v>
      </c>
    </row>
    <row r="120" spans="1:12" x14ac:dyDescent="0.45">
      <c r="A120">
        <v>5014.7</v>
      </c>
      <c r="B120">
        <v>600</v>
      </c>
      <c r="C120">
        <v>1378.3879911143092</v>
      </c>
      <c r="D120">
        <v>1984.878707204605</v>
      </c>
      <c r="E120">
        <v>2701.640462584046</v>
      </c>
      <c r="F120">
        <v>3184.6276146704995</v>
      </c>
      <c r="G120">
        <v>4975.9806479226545</v>
      </c>
      <c r="H120">
        <v>7291.6724729946936</v>
      </c>
      <c r="I120">
        <v>10806.561850336184</v>
      </c>
      <c r="J120">
        <v>17863.908364841449</v>
      </c>
      <c r="K120">
        <v>26685.591507973018</v>
      </c>
      <c r="L120">
        <v>43226.247401344735</v>
      </c>
    </row>
    <row r="121" spans="1:12" x14ac:dyDescent="0.45">
      <c r="A121">
        <v>5014.7</v>
      </c>
      <c r="B121">
        <v>700</v>
      </c>
      <c r="C121">
        <v>1181.4754209551222</v>
      </c>
      <c r="D121">
        <v>1701.3246061753757</v>
      </c>
      <c r="E121">
        <v>2315.6918250720391</v>
      </c>
      <c r="F121">
        <v>2729.6808125747139</v>
      </c>
      <c r="G121">
        <v>4265.1262696479898</v>
      </c>
      <c r="H121">
        <v>6250.0049768525951</v>
      </c>
      <c r="I121">
        <v>9262.7673002881565</v>
      </c>
      <c r="J121">
        <v>15311.921455578384</v>
      </c>
      <c r="K121">
        <v>22873.364149691159</v>
      </c>
      <c r="L121">
        <v>37051.069201152626</v>
      </c>
    </row>
    <row r="122" spans="1:12" x14ac:dyDescent="0.45">
      <c r="A122">
        <v>5014.7</v>
      </c>
      <c r="B122">
        <v>800</v>
      </c>
      <c r="C122">
        <v>1033.7909933357319</v>
      </c>
      <c r="D122">
        <v>1488.6590304034537</v>
      </c>
      <c r="E122">
        <v>2026.2303469380342</v>
      </c>
      <c r="F122">
        <v>2388.4707110028744</v>
      </c>
      <c r="G122">
        <v>3731.9854859419911</v>
      </c>
      <c r="H122">
        <v>5468.75435474602</v>
      </c>
      <c r="I122">
        <v>8104.921387752137</v>
      </c>
      <c r="J122">
        <v>13397.931273631086</v>
      </c>
      <c r="K122">
        <v>20014.193630979764</v>
      </c>
      <c r="L122">
        <v>32419.685551008548</v>
      </c>
    </row>
    <row r="123" spans="1:12" x14ac:dyDescent="0.45">
      <c r="A123">
        <v>5014.7</v>
      </c>
      <c r="B123">
        <v>900</v>
      </c>
      <c r="C123">
        <v>918.92532740953948</v>
      </c>
      <c r="D123">
        <v>1323.2524714697367</v>
      </c>
      <c r="E123">
        <v>1801.0936417226972</v>
      </c>
      <c r="F123">
        <v>2123.0850764469997</v>
      </c>
      <c r="G123">
        <v>3317.3204319484366</v>
      </c>
      <c r="H123">
        <v>4861.114981996463</v>
      </c>
      <c r="I123">
        <v>7204.3745668907886</v>
      </c>
      <c r="J123">
        <v>11909.272243227631</v>
      </c>
      <c r="K123">
        <v>17790.394338648679</v>
      </c>
      <c r="L123">
        <v>28817.498267563155</v>
      </c>
    </row>
    <row r="124" spans="1:12" x14ac:dyDescent="0.45">
      <c r="A124">
        <v>5014.7</v>
      </c>
      <c r="B124">
        <v>1000</v>
      </c>
      <c r="C124">
        <v>827.03279466858555</v>
      </c>
      <c r="D124">
        <v>1190.9272243227631</v>
      </c>
      <c r="E124">
        <v>1620.9842775504276</v>
      </c>
      <c r="F124">
        <v>1910.7765688022996</v>
      </c>
      <c r="G124">
        <v>2985.5883887535929</v>
      </c>
      <c r="H124">
        <v>4375.003483796816</v>
      </c>
      <c r="I124">
        <v>6483.9371102017103</v>
      </c>
      <c r="J124">
        <v>10718.345018904869</v>
      </c>
      <c r="K124">
        <v>16011.354904783811</v>
      </c>
      <c r="L124">
        <v>25935.748440806841</v>
      </c>
    </row>
    <row r="125" spans="1:12" x14ac:dyDescent="0.45">
      <c r="A125">
        <v>5014.7</v>
      </c>
      <c r="B125">
        <v>2000</v>
      </c>
      <c r="C125">
        <v>413.51639733429278</v>
      </c>
      <c r="D125">
        <v>595.46361216138155</v>
      </c>
      <c r="E125">
        <v>810.49213877521379</v>
      </c>
      <c r="F125">
        <v>955.3882844011498</v>
      </c>
      <c r="G125">
        <v>1492.7941943767964</v>
      </c>
      <c r="H125">
        <v>2187.501741898408</v>
      </c>
      <c r="I125">
        <v>3241.9685551008552</v>
      </c>
      <c r="J125">
        <v>5359.1725094524345</v>
      </c>
      <c r="K125">
        <v>8005.6774523919057</v>
      </c>
      <c r="L125">
        <v>12967.874220403421</v>
      </c>
    </row>
    <row r="126" spans="1:12" x14ac:dyDescent="0.45">
      <c r="A126">
        <v>5014.7</v>
      </c>
      <c r="B126">
        <v>3000</v>
      </c>
      <c r="C126">
        <v>275.67759822286183</v>
      </c>
      <c r="D126">
        <v>396.97574144092101</v>
      </c>
      <c r="E126">
        <v>540.32809251680919</v>
      </c>
      <c r="F126">
        <v>636.92552293409994</v>
      </c>
      <c r="G126">
        <v>995.19612958453104</v>
      </c>
      <c r="H126">
        <v>1458.3344945989388</v>
      </c>
      <c r="I126">
        <v>2161.3123700672368</v>
      </c>
      <c r="J126">
        <v>3572.7816729682895</v>
      </c>
      <c r="K126">
        <v>5337.1183015946035</v>
      </c>
      <c r="L126">
        <v>8645.2494802689471</v>
      </c>
    </row>
    <row r="127" spans="1:12" x14ac:dyDescent="0.45">
      <c r="A127">
        <v>5014.7</v>
      </c>
      <c r="B127">
        <v>4000</v>
      </c>
      <c r="C127">
        <v>206.75819866714639</v>
      </c>
      <c r="D127">
        <v>297.73180608069077</v>
      </c>
      <c r="E127">
        <v>405.24606938760689</v>
      </c>
      <c r="F127">
        <v>477.6941422005749</v>
      </c>
      <c r="G127">
        <v>746.39709718839822</v>
      </c>
      <c r="H127">
        <v>1093.750870949204</v>
      </c>
      <c r="I127">
        <v>1620.9842775504276</v>
      </c>
      <c r="J127">
        <v>2679.5862547262172</v>
      </c>
      <c r="K127">
        <v>4002.8387261959529</v>
      </c>
      <c r="L127">
        <v>6483.9371102017103</v>
      </c>
    </row>
    <row r="128" spans="1:12" x14ac:dyDescent="0.45">
      <c r="A128">
        <v>5014.7</v>
      </c>
      <c r="B128">
        <v>5000</v>
      </c>
      <c r="C128">
        <v>165.40655893371709</v>
      </c>
      <c r="D128">
        <v>238.18544486455261</v>
      </c>
      <c r="E128">
        <v>324.19685551008547</v>
      </c>
      <c r="F128">
        <v>382.15531376045993</v>
      </c>
      <c r="G128">
        <v>597.1176777507186</v>
      </c>
      <c r="H128">
        <v>875.00069675936322</v>
      </c>
      <c r="I128">
        <v>1296.7874220403419</v>
      </c>
      <c r="J128">
        <v>2143.6690037809735</v>
      </c>
      <c r="K128">
        <v>3202.2709809567623</v>
      </c>
      <c r="L128">
        <v>5187.1496881613675</v>
      </c>
    </row>
    <row r="129" spans="1:12" x14ac:dyDescent="0.45">
      <c r="A129">
        <v>5014.7</v>
      </c>
      <c r="B129">
        <v>6000</v>
      </c>
      <c r="C129">
        <v>137.83879911143092</v>
      </c>
      <c r="D129">
        <v>198.48787072046051</v>
      </c>
      <c r="E129">
        <v>270.1640462584046</v>
      </c>
      <c r="F129">
        <v>318.46276146704997</v>
      </c>
      <c r="G129">
        <v>497.59806479226552</v>
      </c>
      <c r="H129">
        <v>729.16724729946941</v>
      </c>
      <c r="I129">
        <v>1080.6561850336184</v>
      </c>
      <c r="J129">
        <v>1786.3908364841448</v>
      </c>
      <c r="K129">
        <v>2668.5591507973018</v>
      </c>
      <c r="L129">
        <v>4322.6247401344735</v>
      </c>
    </row>
    <row r="130" spans="1:12" ht="35" x14ac:dyDescent="0.45">
      <c r="C130" s="6" t="str">
        <f>C$2&amp;""" "&amp;$A131-14.7&amp;"psig"</f>
        <v>1.25" 6000psig</v>
      </c>
      <c r="D130" s="6" t="str">
        <f>D$2&amp;""" "&amp;$A131-14.7&amp;"psig"</f>
        <v>1.5" 6000psig</v>
      </c>
      <c r="E130" s="6" t="str">
        <f>E$2&amp;""" "&amp;$A131-14.7&amp;"psig"</f>
        <v>1.75" 6000psig</v>
      </c>
      <c r="F130" s="6" t="str">
        <f>F$2&amp;""" "&amp;$A131-14.7&amp;"psig"</f>
        <v>1.9" 6000psig</v>
      </c>
      <c r="G130" s="6" t="str">
        <f>G$2&amp;""" "&amp;$A131-14.7&amp;"psig"</f>
        <v>2.375" 6000psig</v>
      </c>
      <c r="H130" s="6" t="str">
        <f>H$2&amp;""" "&amp;$A131-14.7&amp;"psig"</f>
        <v>2.875" 6000psig</v>
      </c>
      <c r="I130" s="6" t="str">
        <f>I$2&amp;""" "&amp;$A131-14.7&amp;"psig"</f>
        <v>3.5" 6000psig</v>
      </c>
      <c r="J130" s="6" t="str">
        <f>J$2&amp;""" "&amp;$A131-14.7&amp;"psig"</f>
        <v>4.5" 6000psig</v>
      </c>
      <c r="K130" s="6" t="str">
        <f>K$2&amp;""" "&amp;$A131-14.7&amp;"psig"</f>
        <v>5.5" 6000psig</v>
      </c>
      <c r="L130" s="6" t="str">
        <f>L$2&amp;""" "&amp;$A131-14.7&amp;"psig"</f>
        <v>7" 6000psig</v>
      </c>
    </row>
    <row r="131" spans="1:12" x14ac:dyDescent="0.45">
      <c r="A131">
        <v>6014.7</v>
      </c>
      <c r="B131">
        <v>10</v>
      </c>
      <c r="C131">
        <v>85861.840946158511</v>
      </c>
      <c r="D131">
        <v>123641.05096246822</v>
      </c>
      <c r="E131">
        <v>168289.20825447066</v>
      </c>
      <c r="F131">
        <v>198375.19732200462</v>
      </c>
      <c r="G131">
        <v>309961.24581563217</v>
      </c>
      <c r="H131">
        <v>454209.13860517851</v>
      </c>
      <c r="I131">
        <v>673156.83301788266</v>
      </c>
      <c r="J131">
        <v>1112769.4586622142</v>
      </c>
      <c r="K131">
        <v>1662285.2407176283</v>
      </c>
      <c r="L131">
        <v>2692627.3320715306</v>
      </c>
    </row>
    <row r="132" spans="1:12" x14ac:dyDescent="0.45">
      <c r="A132">
        <v>6014.7</v>
      </c>
      <c r="B132">
        <v>50</v>
      </c>
      <c r="C132">
        <v>17172.368189231704</v>
      </c>
      <c r="D132">
        <v>24728.210192493643</v>
      </c>
      <c r="E132">
        <v>33657.841650894137</v>
      </c>
      <c r="F132">
        <v>39675.039464400921</v>
      </c>
      <c r="G132">
        <v>61992.249163126435</v>
      </c>
      <c r="H132">
        <v>90841.827721035705</v>
      </c>
      <c r="I132">
        <v>134631.36660357655</v>
      </c>
      <c r="J132">
        <v>222553.89173244283</v>
      </c>
      <c r="K132">
        <v>332457.04814352567</v>
      </c>
      <c r="L132">
        <v>538525.4664143062</v>
      </c>
    </row>
    <row r="133" spans="1:12" x14ac:dyDescent="0.45">
      <c r="A133">
        <v>6014.7</v>
      </c>
      <c r="B133">
        <v>100</v>
      </c>
      <c r="C133">
        <v>8586.1840946158518</v>
      </c>
      <c r="D133">
        <v>12364.105096246822</v>
      </c>
      <c r="E133">
        <v>16828.920825447069</v>
      </c>
      <c r="F133">
        <v>19837.519732200461</v>
      </c>
      <c r="G133">
        <v>30996.124581563217</v>
      </c>
      <c r="H133">
        <v>45420.913860517852</v>
      </c>
      <c r="I133">
        <v>67315.683301788275</v>
      </c>
      <c r="J133">
        <v>111276.94586622142</v>
      </c>
      <c r="K133">
        <v>166228.52407176283</v>
      </c>
      <c r="L133">
        <v>269262.7332071531</v>
      </c>
    </row>
    <row r="134" spans="1:12" x14ac:dyDescent="0.45">
      <c r="A134">
        <v>6014.7</v>
      </c>
      <c r="B134">
        <v>200</v>
      </c>
      <c r="C134">
        <v>4293.0920473079259</v>
      </c>
      <c r="D134">
        <v>6182.0525481234108</v>
      </c>
      <c r="E134">
        <v>8414.4604127235343</v>
      </c>
      <c r="F134">
        <v>9918.7598661002303</v>
      </c>
      <c r="G134">
        <v>15498.062290781609</v>
      </c>
      <c r="H134">
        <v>22710.456930258926</v>
      </c>
      <c r="I134">
        <v>33657.841650894137</v>
      </c>
      <c r="J134">
        <v>55638.472933110708</v>
      </c>
      <c r="K134">
        <v>83114.262035881417</v>
      </c>
      <c r="L134">
        <v>134631.36660357655</v>
      </c>
    </row>
    <row r="135" spans="1:12" x14ac:dyDescent="0.45">
      <c r="A135">
        <v>6014.7</v>
      </c>
      <c r="B135">
        <v>300</v>
      </c>
      <c r="C135">
        <v>2862.0613648719504</v>
      </c>
      <c r="D135">
        <v>4121.3683654156075</v>
      </c>
      <c r="E135">
        <v>5609.6402751490223</v>
      </c>
      <c r="F135">
        <v>6612.5065774001541</v>
      </c>
      <c r="G135">
        <v>10332.041527187739</v>
      </c>
      <c r="H135">
        <v>15140.304620172617</v>
      </c>
      <c r="I135">
        <v>22438.561100596089</v>
      </c>
      <c r="J135">
        <v>37092.315288740472</v>
      </c>
      <c r="K135">
        <v>55409.508023920942</v>
      </c>
      <c r="L135">
        <v>89754.244402384356</v>
      </c>
    </row>
    <row r="136" spans="1:12" x14ac:dyDescent="0.45">
      <c r="A136">
        <v>6014.7</v>
      </c>
      <c r="B136">
        <v>400</v>
      </c>
      <c r="C136">
        <v>2146.5460236539629</v>
      </c>
      <c r="D136">
        <v>3091.0262740617054</v>
      </c>
      <c r="E136">
        <v>4207.2302063617672</v>
      </c>
      <c r="F136">
        <v>4959.3799330501151</v>
      </c>
      <c r="G136">
        <v>7749.0311453908043</v>
      </c>
      <c r="H136">
        <v>11355.228465129463</v>
      </c>
      <c r="I136">
        <v>16828.920825447069</v>
      </c>
      <c r="J136">
        <v>27819.236466555354</v>
      </c>
      <c r="K136">
        <v>41557.131017940708</v>
      </c>
      <c r="L136">
        <v>67315.683301788275</v>
      </c>
    </row>
    <row r="137" spans="1:12" x14ac:dyDescent="0.45">
      <c r="A137">
        <v>6014.7</v>
      </c>
      <c r="B137">
        <v>500</v>
      </c>
      <c r="C137">
        <v>1717.2368189231702</v>
      </c>
      <c r="D137">
        <v>2472.8210192493643</v>
      </c>
      <c r="E137">
        <v>3365.7841650894134</v>
      </c>
      <c r="F137">
        <v>3967.5039464400925</v>
      </c>
      <c r="G137">
        <v>6199.2249163126435</v>
      </c>
      <c r="H137">
        <v>9084.1827721035697</v>
      </c>
      <c r="I137">
        <v>13463.136660357653</v>
      </c>
      <c r="J137">
        <v>22255.389173244283</v>
      </c>
      <c r="K137">
        <v>33245.704814352568</v>
      </c>
      <c r="L137">
        <v>53852.546641430614</v>
      </c>
    </row>
    <row r="138" spans="1:12" x14ac:dyDescent="0.45">
      <c r="A138">
        <v>6014.7</v>
      </c>
      <c r="B138">
        <v>600</v>
      </c>
      <c r="C138">
        <v>1431.0306824359752</v>
      </c>
      <c r="D138">
        <v>2060.6841827078038</v>
      </c>
      <c r="E138">
        <v>2804.8201375745111</v>
      </c>
      <c r="F138">
        <v>3306.2532887000771</v>
      </c>
      <c r="G138">
        <v>5166.0207635938696</v>
      </c>
      <c r="H138">
        <v>7570.1523100863087</v>
      </c>
      <c r="I138">
        <v>11219.280550298045</v>
      </c>
      <c r="J138">
        <v>18546.157644370236</v>
      </c>
      <c r="K138">
        <v>27704.754011960471</v>
      </c>
      <c r="L138">
        <v>44877.122201192178</v>
      </c>
    </row>
    <row r="139" spans="1:12" x14ac:dyDescent="0.45">
      <c r="A139">
        <v>6014.7</v>
      </c>
      <c r="B139">
        <v>700</v>
      </c>
      <c r="C139">
        <v>1226.5977278022644</v>
      </c>
      <c r="D139">
        <v>1766.3007280352601</v>
      </c>
      <c r="E139">
        <v>2404.1315464924382</v>
      </c>
      <c r="F139">
        <v>2833.9313903143516</v>
      </c>
      <c r="G139">
        <v>4428.0177973661739</v>
      </c>
      <c r="H139">
        <v>6488.701980073979</v>
      </c>
      <c r="I139">
        <v>9616.526185969753</v>
      </c>
      <c r="J139">
        <v>15896.706552317344</v>
      </c>
      <c r="K139">
        <v>23746.932010251832</v>
      </c>
      <c r="L139">
        <v>38466.104743879012</v>
      </c>
    </row>
    <row r="140" spans="1:12" x14ac:dyDescent="0.45">
      <c r="A140">
        <v>6014.7</v>
      </c>
      <c r="B140">
        <v>800</v>
      </c>
      <c r="C140">
        <v>1073.2730118269815</v>
      </c>
      <c r="D140">
        <v>1545.5131370308527</v>
      </c>
      <c r="E140">
        <v>2103.6151031808836</v>
      </c>
      <c r="F140">
        <v>2479.6899665250576</v>
      </c>
      <c r="G140">
        <v>3874.5155726954022</v>
      </c>
      <c r="H140">
        <v>5677.6142325647315</v>
      </c>
      <c r="I140">
        <v>8414.4604127235343</v>
      </c>
      <c r="J140">
        <v>13909.618233277677</v>
      </c>
      <c r="K140">
        <v>20778.565508970354</v>
      </c>
      <c r="L140">
        <v>33657.841650894137</v>
      </c>
    </row>
    <row r="141" spans="1:12" x14ac:dyDescent="0.45">
      <c r="A141">
        <v>6014.7</v>
      </c>
      <c r="B141">
        <v>900</v>
      </c>
      <c r="C141">
        <v>954.02045495731682</v>
      </c>
      <c r="D141">
        <v>1373.7894551385357</v>
      </c>
      <c r="E141">
        <v>1869.8800917163408</v>
      </c>
      <c r="F141">
        <v>2204.1688591333846</v>
      </c>
      <c r="G141">
        <v>3444.0138423959129</v>
      </c>
      <c r="H141">
        <v>5046.7682067242058</v>
      </c>
      <c r="I141">
        <v>7479.520366865363</v>
      </c>
      <c r="J141">
        <v>12364.105096246823</v>
      </c>
      <c r="K141">
        <v>18469.836007973649</v>
      </c>
      <c r="L141">
        <v>29918.081467461452</v>
      </c>
    </row>
    <row r="142" spans="1:12" x14ac:dyDescent="0.45">
      <c r="A142">
        <v>6014.7</v>
      </c>
      <c r="B142">
        <v>1000</v>
      </c>
      <c r="C142">
        <v>858.61840946158509</v>
      </c>
      <c r="D142">
        <v>1236.4105096246822</v>
      </c>
      <c r="E142">
        <v>1682.8920825447067</v>
      </c>
      <c r="F142">
        <v>1983.7519732200462</v>
      </c>
      <c r="G142">
        <v>3099.6124581563217</v>
      </c>
      <c r="H142">
        <v>4542.0913860517849</v>
      </c>
      <c r="I142">
        <v>6731.5683301788267</v>
      </c>
      <c r="J142">
        <v>11127.694586622141</v>
      </c>
      <c r="K142">
        <v>16622.852407176284</v>
      </c>
      <c r="L142">
        <v>26926.273320715307</v>
      </c>
    </row>
    <row r="143" spans="1:12" x14ac:dyDescent="0.45">
      <c r="A143">
        <v>6014.7</v>
      </c>
      <c r="B143">
        <v>2000</v>
      </c>
      <c r="C143">
        <v>429.30920473079254</v>
      </c>
      <c r="D143">
        <v>618.20525481234108</v>
      </c>
      <c r="E143">
        <v>841.44604127235334</v>
      </c>
      <c r="F143">
        <v>991.87598661002312</v>
      </c>
      <c r="G143">
        <v>1549.8062290781609</v>
      </c>
      <c r="H143">
        <v>2271.0456930258924</v>
      </c>
      <c r="I143">
        <v>3365.7841650894134</v>
      </c>
      <c r="J143">
        <v>5563.8472933110706</v>
      </c>
      <c r="K143">
        <v>8311.426203588142</v>
      </c>
      <c r="L143">
        <v>13463.136660357653</v>
      </c>
    </row>
    <row r="144" spans="1:12" x14ac:dyDescent="0.45">
      <c r="A144">
        <v>6014.7</v>
      </c>
      <c r="B144">
        <v>3000</v>
      </c>
      <c r="C144">
        <v>286.20613648719501</v>
      </c>
      <c r="D144">
        <v>412.13683654156068</v>
      </c>
      <c r="E144">
        <v>560.96402751490223</v>
      </c>
      <c r="F144">
        <v>661.25065774001541</v>
      </c>
      <c r="G144">
        <v>1033.2041527187739</v>
      </c>
      <c r="H144">
        <v>1514.0304620172617</v>
      </c>
      <c r="I144">
        <v>2243.8561100596089</v>
      </c>
      <c r="J144">
        <v>3709.2315288740469</v>
      </c>
      <c r="K144">
        <v>5540.9508023920944</v>
      </c>
      <c r="L144">
        <v>8975.4244402384356</v>
      </c>
    </row>
    <row r="145" spans="1:12" x14ac:dyDescent="0.45">
      <c r="A145">
        <v>6014.7</v>
      </c>
      <c r="B145">
        <v>4000</v>
      </c>
      <c r="C145">
        <v>214.65460236539627</v>
      </c>
      <c r="D145">
        <v>309.10262740617054</v>
      </c>
      <c r="E145">
        <v>420.72302063617667</v>
      </c>
      <c r="F145">
        <v>495.93799330501156</v>
      </c>
      <c r="G145">
        <v>774.90311453908043</v>
      </c>
      <c r="H145">
        <v>1135.5228465129462</v>
      </c>
      <c r="I145">
        <v>1682.8920825447067</v>
      </c>
      <c r="J145">
        <v>2781.9236466555353</v>
      </c>
      <c r="K145">
        <v>4155.713101794071</v>
      </c>
      <c r="L145">
        <v>6731.5683301788267</v>
      </c>
    </row>
    <row r="146" spans="1:12" x14ac:dyDescent="0.45">
      <c r="A146">
        <v>6014.7</v>
      </c>
      <c r="B146">
        <v>5000</v>
      </c>
      <c r="C146">
        <v>171.72368189231702</v>
      </c>
      <c r="D146">
        <v>247.28210192493643</v>
      </c>
      <c r="E146">
        <v>336.57841650894136</v>
      </c>
      <c r="F146">
        <v>396.75039464400925</v>
      </c>
      <c r="G146">
        <v>619.92249163126428</v>
      </c>
      <c r="H146">
        <v>908.41827721035702</v>
      </c>
      <c r="I146">
        <v>1346.3136660357654</v>
      </c>
      <c r="J146">
        <v>2225.5389173244284</v>
      </c>
      <c r="K146">
        <v>3324.5704814352566</v>
      </c>
      <c r="L146">
        <v>5385.2546641430617</v>
      </c>
    </row>
    <row r="147" spans="1:12" x14ac:dyDescent="0.45">
      <c r="A147">
        <v>6014.7</v>
      </c>
      <c r="B147">
        <v>6000</v>
      </c>
      <c r="C147">
        <v>143.10306824359751</v>
      </c>
      <c r="D147">
        <v>206.06841827078034</v>
      </c>
      <c r="E147">
        <v>280.48201375745111</v>
      </c>
      <c r="F147">
        <v>330.62532887000771</v>
      </c>
      <c r="G147">
        <v>516.60207635938696</v>
      </c>
      <c r="H147">
        <v>757.01523100863085</v>
      </c>
      <c r="I147">
        <v>1121.9280550298045</v>
      </c>
      <c r="J147">
        <v>1854.6157644370235</v>
      </c>
      <c r="K147">
        <v>2770.4754011960472</v>
      </c>
      <c r="L147">
        <v>4487.7122201192178</v>
      </c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35449-A4EF-486E-B869-D1B05CFB5F92}">
  <sheetPr codeName="Sheet4"/>
  <dimension ref="A1:O49"/>
  <sheetViews>
    <sheetView workbookViewId="0">
      <selection activeCell="L15" sqref="L15"/>
    </sheetView>
  </sheetViews>
  <sheetFormatPr defaultRowHeight="17.5" x14ac:dyDescent="0.45"/>
  <cols>
    <col min="1" max="7" width="9.2109375" style="1" bestFit="1" customWidth="1"/>
    <col min="8" max="8" width="9.85546875" style="1" bestFit="1" customWidth="1"/>
    <col min="9" max="9" width="10.78515625" style="1" bestFit="1" customWidth="1"/>
    <col min="10" max="12" width="9.2109375" style="1" bestFit="1" customWidth="1"/>
    <col min="13" max="13" width="9.85546875" style="1" bestFit="1" customWidth="1"/>
    <col min="14" max="15" width="9.2109375" style="1" bestFit="1" customWidth="1"/>
    <col min="16" max="16384" width="9.140625" style="1"/>
  </cols>
  <sheetData>
    <row r="1" spans="1:14" x14ac:dyDescent="0.45">
      <c r="B1" s="1" t="s">
        <v>83</v>
      </c>
      <c r="C1" s="1">
        <v>62.417560000000002</v>
      </c>
      <c r="D1" s="1" t="s">
        <v>84</v>
      </c>
      <c r="E1" s="1">
        <f>C1/(42/5.615)</f>
        <v>8.3446333190476203</v>
      </c>
      <c r="F1" s="1" t="s">
        <v>91</v>
      </c>
    </row>
    <row r="2" spans="1:14" x14ac:dyDescent="0.45">
      <c r="B2" s="1" t="s">
        <v>93</v>
      </c>
      <c r="C2" s="1">
        <v>1</v>
      </c>
      <c r="D2" s="1" t="s">
        <v>94</v>
      </c>
      <c r="E2" s="1">
        <f>47880.25898*C2</f>
        <v>47880.258979999999</v>
      </c>
      <c r="F2" s="1" t="s">
        <v>95</v>
      </c>
    </row>
    <row r="4" spans="1:14" x14ac:dyDescent="0.45">
      <c r="B4" s="1" t="s">
        <v>68</v>
      </c>
      <c r="C4" s="1">
        <v>50</v>
      </c>
      <c r="D4" s="1" t="s">
        <v>70</v>
      </c>
      <c r="E4" s="1">
        <f>C4*5.615</f>
        <v>280.75</v>
      </c>
      <c r="F4" s="1" t="s">
        <v>69</v>
      </c>
    </row>
    <row r="5" spans="1:14" x14ac:dyDescent="0.45">
      <c r="H5" s="1">
        <f>COUNT(B14:B22)</f>
        <v>4</v>
      </c>
    </row>
    <row r="6" spans="1:14" x14ac:dyDescent="0.45">
      <c r="B6" s="1" t="s">
        <v>100</v>
      </c>
      <c r="C6" s="1" t="s">
        <v>101</v>
      </c>
    </row>
    <row r="7" spans="1:14" x14ac:dyDescent="0.45">
      <c r="B7" s="1">
        <v>1</v>
      </c>
      <c r="C7" s="1">
        <f>0.75*10000</f>
        <v>7500</v>
      </c>
    </row>
    <row r="8" spans="1:14" x14ac:dyDescent="0.45">
      <c r="B8" s="1">
        <v>2</v>
      </c>
      <c r="C8" s="1">
        <f t="shared" ref="C8:C10" si="0">0.75*10000</f>
        <v>7500</v>
      </c>
    </row>
    <row r="9" spans="1:14" x14ac:dyDescent="0.45">
      <c r="B9" s="1">
        <v>3</v>
      </c>
      <c r="C9" s="1">
        <f t="shared" si="0"/>
        <v>7500</v>
      </c>
    </row>
    <row r="10" spans="1:14" x14ac:dyDescent="0.45">
      <c r="B10" s="1">
        <v>4</v>
      </c>
      <c r="C10" s="1">
        <f t="shared" si="0"/>
        <v>7500</v>
      </c>
    </row>
    <row r="12" spans="1:14" x14ac:dyDescent="0.45">
      <c r="A12" s="1" t="s">
        <v>66</v>
      </c>
      <c r="B12" s="1">
        <v>0.8</v>
      </c>
      <c r="H12" s="1">
        <f>$E$4/$H$5</f>
        <v>70.1875</v>
      </c>
    </row>
    <row r="13" spans="1:14" x14ac:dyDescent="0.45">
      <c r="B13" s="17" t="s">
        <v>65</v>
      </c>
      <c r="C13" s="1" t="s">
        <v>90</v>
      </c>
      <c r="D13" s="18" t="s">
        <v>67</v>
      </c>
      <c r="E13" s="18" t="s">
        <v>41</v>
      </c>
      <c r="F13" s="18" t="s">
        <v>85</v>
      </c>
      <c r="G13" s="18" t="s">
        <v>87</v>
      </c>
      <c r="H13" s="18" t="s">
        <v>86</v>
      </c>
      <c r="I13" s="18" t="s">
        <v>70</v>
      </c>
      <c r="J13" s="18" t="s">
        <v>92</v>
      </c>
    </row>
    <row r="14" spans="1:14" x14ac:dyDescent="0.45">
      <c r="B14" s="1">
        <v>1</v>
      </c>
      <c r="C14" s="1">
        <f>0.4</f>
        <v>0.4</v>
      </c>
      <c r="D14" s="1">
        <f>C14/12</f>
        <v>3.3333333333333333E-2</v>
      </c>
      <c r="E14" s="1">
        <v>6</v>
      </c>
      <c r="F14" s="29">
        <f>(PI()/4)*D14^2</f>
        <v>8.726646259971648E-4</v>
      </c>
      <c r="G14" s="1">
        <f>SQRT($C$1/$F14)</f>
        <v>267.44205935135136</v>
      </c>
      <c r="H14" s="19">
        <v>70.1875</v>
      </c>
      <c r="I14" s="1">
        <f>H14/5.615</f>
        <v>12.5</v>
      </c>
      <c r="J14" s="1">
        <f>((0.007513902*$E$1)/($C14^4*$B$12^2*$E14^2))</f>
        <v>0.1063041805441259</v>
      </c>
      <c r="L14" s="1">
        <f>I14^2*((0.2369*$E$1)/($C14^4*$B$12^2*$E14^2))</f>
        <v>523.68472239239486</v>
      </c>
      <c r="M14" s="1">
        <f>H14^2*(((0.007513902*$E$1)/($C14^4*$B$12^2*$E14^2)))</f>
        <v>523.68470666184749</v>
      </c>
      <c r="N14" s="1">
        <f>L14/M14</f>
        <v>1.0000000300382028</v>
      </c>
    </row>
    <row r="15" spans="1:14" x14ac:dyDescent="0.45">
      <c r="B15" s="1">
        <v>2</v>
      </c>
      <c r="C15" s="1">
        <v>0.4</v>
      </c>
      <c r="D15" s="1">
        <f t="shared" ref="D15:D17" si="1">C15/12</f>
        <v>3.3333333333333333E-2</v>
      </c>
      <c r="E15" s="1">
        <v>6</v>
      </c>
      <c r="F15" s="29">
        <f>(PI()/4)*D15^2</f>
        <v>8.726646259971648E-4</v>
      </c>
      <c r="G15" s="1">
        <f>SQRT($C$1/$F15)</f>
        <v>267.44205935135136</v>
      </c>
      <c r="H15" s="19">
        <v>70.1875</v>
      </c>
      <c r="I15" s="1">
        <f t="shared" ref="I15:I17" si="2">H15/5.615</f>
        <v>12.5</v>
      </c>
      <c r="J15" s="1">
        <f t="shared" ref="J15:J16" si="3">((0.007513902*$E$1)/($C15^4*$B$12^2*$E15^2))</f>
        <v>0.1063041805441259</v>
      </c>
    </row>
    <row r="16" spans="1:14" x14ac:dyDescent="0.45">
      <c r="B16" s="1">
        <v>3</v>
      </c>
      <c r="C16" s="1">
        <v>0.4</v>
      </c>
      <c r="D16" s="1">
        <f t="shared" si="1"/>
        <v>3.3333333333333333E-2</v>
      </c>
      <c r="E16" s="1">
        <v>6</v>
      </c>
      <c r="F16" s="29">
        <f>(PI()/4)*D16^2</f>
        <v>8.726646259971648E-4</v>
      </c>
      <c r="G16" s="1">
        <f>SQRT($C$1/$F16)</f>
        <v>267.44205935135136</v>
      </c>
      <c r="H16" s="19">
        <v>70.1875</v>
      </c>
      <c r="I16" s="1">
        <f t="shared" si="2"/>
        <v>12.5</v>
      </c>
      <c r="J16" s="1">
        <f t="shared" si="3"/>
        <v>0.1063041805441259</v>
      </c>
    </row>
    <row r="17" spans="1:15" x14ac:dyDescent="0.45">
      <c r="B17" s="1">
        <v>4</v>
      </c>
      <c r="C17" s="1">
        <v>0.4</v>
      </c>
      <c r="D17" s="1">
        <f t="shared" si="1"/>
        <v>3.3333333333333333E-2</v>
      </c>
      <c r="E17" s="1">
        <v>6</v>
      </c>
      <c r="F17" s="29">
        <f>(PI()/4)*D17^2</f>
        <v>8.726646259971648E-4</v>
      </c>
      <c r="G17" s="1">
        <f>SQRT($C$1/$F17)</f>
        <v>267.44205935135136</v>
      </c>
      <c r="H17" s="19">
        <v>70.1875</v>
      </c>
      <c r="I17" s="1">
        <f t="shared" si="2"/>
        <v>12.5</v>
      </c>
      <c r="J17" s="1">
        <f>((0.007513902*$E$1)/($C17^4*$B$12^2*$E17^2))</f>
        <v>0.1063041805441259</v>
      </c>
    </row>
    <row r="19" spans="1:15" x14ac:dyDescent="0.45">
      <c r="B19" s="17" t="s">
        <v>88</v>
      </c>
      <c r="C19" s="18" t="s">
        <v>89</v>
      </c>
      <c r="D19" s="1" t="s">
        <v>90</v>
      </c>
      <c r="E19" s="18" t="s">
        <v>67</v>
      </c>
      <c r="F19" s="18" t="s">
        <v>85</v>
      </c>
      <c r="G19" s="18" t="s">
        <v>86</v>
      </c>
      <c r="H19" s="18" t="s">
        <v>70</v>
      </c>
      <c r="I19" s="1" t="s">
        <v>59</v>
      </c>
      <c r="J19" s="18" t="s">
        <v>60</v>
      </c>
      <c r="K19" s="18" t="s">
        <v>92</v>
      </c>
    </row>
    <row r="20" spans="1:15" x14ac:dyDescent="0.45">
      <c r="B20" s="18" t="s">
        <v>96</v>
      </c>
      <c r="C20" s="1">
        <v>1000</v>
      </c>
      <c r="D20" s="1">
        <v>5.5</v>
      </c>
      <c r="E20" s="1">
        <f>D20/12</f>
        <v>0.45833333333333331</v>
      </c>
      <c r="F20" s="1">
        <f>(PI()/4)*E20^2</f>
        <v>0.16498815585258894</v>
      </c>
      <c r="G20" s="1">
        <f>SUM(H14:$H$17)</f>
        <v>280.75</v>
      </c>
      <c r="H20" s="1">
        <f>G20/5.615</f>
        <v>50</v>
      </c>
      <c r="I20" s="1">
        <f>(92.1*1*H20*1440)/($D$21*$C$2)</f>
        <v>1205672.7272727273</v>
      </c>
      <c r="J20" s="1" cm="1">
        <f t="array" ref="J20">_xll.FrictionFactor(I20)</f>
        <v>4.4476023295163449E-3</v>
      </c>
      <c r="K20" s="1">
        <f>(($C$1*J20*C20)/(E20*2*32.174*F20^2))</f>
        <v>345.78862550103565</v>
      </c>
    </row>
    <row r="21" spans="1:15" x14ac:dyDescent="0.45">
      <c r="B21" s="18" t="s">
        <v>97</v>
      </c>
      <c r="C21" s="1">
        <v>62.5</v>
      </c>
      <c r="D21" s="1">
        <v>5.5</v>
      </c>
      <c r="E21" s="1">
        <f>D21/12</f>
        <v>0.45833333333333331</v>
      </c>
      <c r="F21" s="1">
        <f>(PI()/4)*E21^2</f>
        <v>0.16498815585258894</v>
      </c>
      <c r="G21" s="1">
        <f>SUM(H15:$H$17)</f>
        <v>210.5625</v>
      </c>
      <c r="H21" s="1">
        <f>G21/5.615</f>
        <v>37.5</v>
      </c>
      <c r="I21" s="1">
        <f>(92.1*1*H21*1440)/($D$21*$C$2)</f>
        <v>904254.54545454541</v>
      </c>
      <c r="J21" s="1" cm="1">
        <f t="array" ref="J21">_xll.FrictionFactor(I21)</f>
        <v>4.4783586705970978E-3</v>
      </c>
      <c r="K21" s="1">
        <f t="shared" ref="K21:K23" si="4">(($C$1*J21*C21)/(E21*2*32.174*F21^2))</f>
        <v>21.761240305386281</v>
      </c>
    </row>
    <row r="22" spans="1:15" x14ac:dyDescent="0.45">
      <c r="B22" s="18" t="s">
        <v>98</v>
      </c>
      <c r="C22" s="1">
        <v>62.5</v>
      </c>
      <c r="D22" s="1">
        <v>5.5</v>
      </c>
      <c r="E22" s="1">
        <f t="shared" ref="E22:E23" si="5">D22/12</f>
        <v>0.45833333333333331</v>
      </c>
      <c r="F22" s="1">
        <f t="shared" ref="F22:F23" si="6">(PI()/4)*E22^2</f>
        <v>0.16498815585258894</v>
      </c>
      <c r="G22" s="1">
        <f>SUM(H16:$H$17)</f>
        <v>140.375</v>
      </c>
      <c r="H22" s="1">
        <f t="shared" ref="H22:H23" si="7">G22/5.615</f>
        <v>25</v>
      </c>
      <c r="I22" s="1">
        <f>(92.1*1*H22*1440)/($D$21*$C$2)</f>
        <v>602836.36363636365</v>
      </c>
      <c r="J22" s="1" cm="1">
        <f t="array" ref="J22">_xll.FrictionFactor(I22)</f>
        <v>4.5373536569466759E-3</v>
      </c>
      <c r="K22" s="1">
        <f t="shared" si="4"/>
        <v>22.047908741122576</v>
      </c>
    </row>
    <row r="23" spans="1:15" x14ac:dyDescent="0.45">
      <c r="B23" s="18" t="s">
        <v>99</v>
      </c>
      <c r="C23" s="1">
        <v>62.5</v>
      </c>
      <c r="D23" s="1">
        <v>5.5</v>
      </c>
      <c r="E23" s="1">
        <f t="shared" si="5"/>
        <v>0.45833333333333331</v>
      </c>
      <c r="F23" s="1">
        <f t="shared" si="6"/>
        <v>0.16498815585258894</v>
      </c>
      <c r="G23" s="1">
        <f>SUM(H17:$H$17)</f>
        <v>70.1875</v>
      </c>
      <c r="H23" s="1">
        <f t="shared" si="7"/>
        <v>12.5</v>
      </c>
      <c r="I23" s="1">
        <f>(92.1*1*H23*1440)/($D$21*$C$2)</f>
        <v>301418.18181818182</v>
      </c>
      <c r="J23" s="1" cm="1">
        <f t="array" ref="J23">_xll.FrictionFactor(I23)</f>
        <v>4.6980410926228027E-3</v>
      </c>
      <c r="K23" s="1">
        <f t="shared" si="4"/>
        <v>22.828721123293445</v>
      </c>
    </row>
    <row r="24" spans="1:15" x14ac:dyDescent="0.45">
      <c r="B24" s="18"/>
      <c r="M24" s="30" t="s">
        <v>102</v>
      </c>
    </row>
    <row r="26" spans="1:15" s="18" customFormat="1" x14ac:dyDescent="0.45">
      <c r="B26" s="18" t="s">
        <v>71</v>
      </c>
      <c r="C26" s="18" t="s">
        <v>72</v>
      </c>
      <c r="D26" s="18" t="s">
        <v>73</v>
      </c>
      <c r="E26" s="18" t="s">
        <v>74</v>
      </c>
      <c r="F26" s="18" t="s">
        <v>75</v>
      </c>
      <c r="G26" s="18" t="s">
        <v>76</v>
      </c>
      <c r="H26" s="18" t="s">
        <v>77</v>
      </c>
      <c r="I26" s="18" t="s">
        <v>78</v>
      </c>
      <c r="J26" s="18" t="s">
        <v>79</v>
      </c>
      <c r="K26" s="18" t="s">
        <v>80</v>
      </c>
      <c r="M26" s="18" t="s">
        <v>82</v>
      </c>
      <c r="O26" s="18" t="s">
        <v>81</v>
      </c>
    </row>
    <row r="27" spans="1:15" x14ac:dyDescent="0.45">
      <c r="A27" s="1">
        <v>1</v>
      </c>
      <c r="B27" s="23">
        <f>SQRT($C$1/$F$14)</f>
        <v>267.44205935135136</v>
      </c>
      <c r="C27" s="23">
        <f>SQRT($C$1/$F$21)</f>
        <v>19.45033158918919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0">
        <v>0</v>
      </c>
      <c r="J27" s="20">
        <v>0</v>
      </c>
      <c r="K27" s="20">
        <v>0</v>
      </c>
      <c r="M27" s="16" t="e">
        <f t="array" ref="M27:M37">MMULT(MINVERSE(B27:K37), O27:O37)</f>
        <v>#VALUE!</v>
      </c>
      <c r="O27" s="15">
        <f>E4*SQRT(C1/F20)</f>
        <v>5460.6805936648652</v>
      </c>
    </row>
    <row r="28" spans="1:15" x14ac:dyDescent="0.45">
      <c r="A28" s="1">
        <f>A27+1</f>
        <v>2</v>
      </c>
      <c r="B28" s="20">
        <v>0</v>
      </c>
      <c r="C28" s="23">
        <f>-SQRT($C$1/$F$21)</f>
        <v>-19.45033158918919</v>
      </c>
      <c r="D28" s="23">
        <f>SQRT($C$1/$F$15)</f>
        <v>267.44205935135136</v>
      </c>
      <c r="E28" s="23">
        <f>SQRT($C$1/$F$22)</f>
        <v>19.45033158918919</v>
      </c>
      <c r="F28" s="20">
        <v>0</v>
      </c>
      <c r="G28" s="20">
        <v>0</v>
      </c>
      <c r="H28" s="20">
        <v>0</v>
      </c>
      <c r="I28" s="20">
        <v>0</v>
      </c>
      <c r="J28" s="20">
        <v>0</v>
      </c>
      <c r="K28" s="20">
        <v>0</v>
      </c>
      <c r="M28" s="15" t="e">
        <v>#VALUE!</v>
      </c>
      <c r="O28" s="15">
        <v>0</v>
      </c>
    </row>
    <row r="29" spans="1:15" x14ac:dyDescent="0.45">
      <c r="A29" s="1">
        <f t="shared" ref="A29:A36" si="8">A28+1</f>
        <v>3</v>
      </c>
      <c r="B29" s="20">
        <v>0</v>
      </c>
      <c r="C29" s="20">
        <v>0</v>
      </c>
      <c r="D29" s="20">
        <v>0</v>
      </c>
      <c r="E29" s="23">
        <f>-SQRT($C$1/$F$22)</f>
        <v>-19.45033158918919</v>
      </c>
      <c r="F29" s="23">
        <f>SQRT($C$1/$F$16)</f>
        <v>267.44205935135136</v>
      </c>
      <c r="G29" s="23">
        <f>SQRT($C$1/$F$17)</f>
        <v>267.44205935135136</v>
      </c>
      <c r="H29" s="20">
        <v>0</v>
      </c>
      <c r="I29" s="20">
        <v>0</v>
      </c>
      <c r="J29" s="20">
        <v>0</v>
      </c>
      <c r="K29" s="20">
        <v>0</v>
      </c>
      <c r="M29" s="15" t="e">
        <v>#VALUE!</v>
      </c>
      <c r="O29" s="15">
        <v>0</v>
      </c>
    </row>
    <row r="30" spans="1:15" x14ac:dyDescent="0.45">
      <c r="A30" s="1">
        <f t="shared" si="8"/>
        <v>4</v>
      </c>
      <c r="B30" s="21">
        <v>0</v>
      </c>
      <c r="C30" s="24">
        <f>SQRT(K21)</f>
        <v>4.6648944581186704</v>
      </c>
      <c r="D30" s="21">
        <v>0</v>
      </c>
      <c r="E30" s="21">
        <v>0</v>
      </c>
      <c r="F30" s="21">
        <v>0</v>
      </c>
      <c r="G30" s="21">
        <v>0</v>
      </c>
      <c r="H30" s="26">
        <v>-1</v>
      </c>
      <c r="I30" s="26">
        <v>1</v>
      </c>
      <c r="J30" s="21">
        <v>0</v>
      </c>
      <c r="K30" s="21">
        <v>0</v>
      </c>
      <c r="M30" s="15" t="e">
        <v>#VALUE!</v>
      </c>
      <c r="O30" s="15">
        <v>0</v>
      </c>
    </row>
    <row r="31" spans="1:15" x14ac:dyDescent="0.45">
      <c r="A31" s="1">
        <f t="shared" si="8"/>
        <v>5</v>
      </c>
      <c r="B31" s="21">
        <v>0</v>
      </c>
      <c r="C31" s="21">
        <v>0</v>
      </c>
      <c r="D31" s="21">
        <v>0</v>
      </c>
      <c r="E31" s="24">
        <f>SQRT(K22)</f>
        <v>4.6955200714215435</v>
      </c>
      <c r="F31" s="21">
        <v>0</v>
      </c>
      <c r="G31" s="21">
        <v>0</v>
      </c>
      <c r="H31" s="21">
        <v>0</v>
      </c>
      <c r="I31" s="26">
        <v>-1</v>
      </c>
      <c r="J31" s="26">
        <v>1</v>
      </c>
      <c r="K31" s="21">
        <v>0</v>
      </c>
      <c r="M31" s="15" t="e">
        <v>#VALUE!</v>
      </c>
      <c r="O31" s="15">
        <v>0</v>
      </c>
    </row>
    <row r="32" spans="1:15" x14ac:dyDescent="0.45">
      <c r="A32" s="1">
        <f t="shared" si="8"/>
        <v>6</v>
      </c>
      <c r="B32" s="21">
        <v>0</v>
      </c>
      <c r="C32" s="21">
        <v>0</v>
      </c>
      <c r="D32" s="21">
        <v>0</v>
      </c>
      <c r="E32" s="21">
        <v>0</v>
      </c>
      <c r="F32" s="21">
        <v>0</v>
      </c>
      <c r="G32" s="24">
        <f>SQRT(K23)</f>
        <v>4.7779410966747431</v>
      </c>
      <c r="H32" s="21">
        <v>0</v>
      </c>
      <c r="I32" s="21">
        <v>0</v>
      </c>
      <c r="J32" s="26">
        <v>-1</v>
      </c>
      <c r="K32" s="26">
        <v>1</v>
      </c>
      <c r="M32" s="15" t="e">
        <v>#VALUE!</v>
      </c>
      <c r="O32" s="15">
        <v>0</v>
      </c>
    </row>
    <row r="33" spans="1:15" x14ac:dyDescent="0.45">
      <c r="A33" s="1">
        <f t="shared" si="8"/>
        <v>7</v>
      </c>
      <c r="B33" s="25">
        <f>SQRT(J14)</f>
        <v>0.3260432188286177</v>
      </c>
      <c r="C33" s="22">
        <v>0</v>
      </c>
      <c r="D33" s="22">
        <v>0</v>
      </c>
      <c r="E33" s="22">
        <v>0</v>
      </c>
      <c r="F33" s="22">
        <v>0</v>
      </c>
      <c r="G33" s="22">
        <v>0</v>
      </c>
      <c r="H33" s="27">
        <f>SQRT(1)</f>
        <v>1</v>
      </c>
      <c r="I33" s="22">
        <v>0</v>
      </c>
      <c r="J33" s="22">
        <v>0</v>
      </c>
      <c r="K33" s="22">
        <v>0</v>
      </c>
      <c r="M33" s="15" t="e">
        <v>#VALUE!</v>
      </c>
      <c r="O33" s="15">
        <f>SQRT(C7)</f>
        <v>86.602540378443862</v>
      </c>
    </row>
    <row r="34" spans="1:15" x14ac:dyDescent="0.45">
      <c r="A34" s="1">
        <f t="shared" si="8"/>
        <v>8</v>
      </c>
      <c r="B34" s="22">
        <v>0</v>
      </c>
      <c r="C34" s="22">
        <v>0</v>
      </c>
      <c r="D34" s="25">
        <f>SQRT(J15)</f>
        <v>0.3260432188286177</v>
      </c>
      <c r="E34" s="22">
        <v>0</v>
      </c>
      <c r="F34" s="22">
        <v>0</v>
      </c>
      <c r="G34" s="22">
        <v>0</v>
      </c>
      <c r="H34" s="22">
        <v>0</v>
      </c>
      <c r="I34" s="27">
        <f>SQRT(1)</f>
        <v>1</v>
      </c>
      <c r="J34" s="22">
        <v>0</v>
      </c>
      <c r="K34" s="22">
        <v>0</v>
      </c>
      <c r="M34" s="15" t="e">
        <v>#VALUE!</v>
      </c>
      <c r="O34" s="15">
        <f t="shared" ref="O34:O36" si="9">SQRT(C8)</f>
        <v>86.602540378443862</v>
      </c>
    </row>
    <row r="35" spans="1:15" x14ac:dyDescent="0.45">
      <c r="A35" s="1">
        <f t="shared" si="8"/>
        <v>9</v>
      </c>
      <c r="B35" s="22">
        <v>0</v>
      </c>
      <c r="C35" s="22">
        <v>0</v>
      </c>
      <c r="D35" s="22">
        <v>0</v>
      </c>
      <c r="E35" s="22">
        <v>0</v>
      </c>
      <c r="F35" s="25">
        <f>SQRT(J16)</f>
        <v>0.3260432188286177</v>
      </c>
      <c r="G35" s="22">
        <v>0</v>
      </c>
      <c r="H35" s="22">
        <v>0</v>
      </c>
      <c r="I35" s="22">
        <v>0</v>
      </c>
      <c r="J35" s="27">
        <f>SQRT(1)</f>
        <v>1</v>
      </c>
      <c r="K35" s="22">
        <v>0</v>
      </c>
      <c r="M35" s="15" t="e">
        <v>#VALUE!</v>
      </c>
      <c r="O35" s="15">
        <f t="shared" si="9"/>
        <v>86.602540378443862</v>
      </c>
    </row>
    <row r="36" spans="1:15" x14ac:dyDescent="0.45">
      <c r="A36" s="1">
        <f t="shared" si="8"/>
        <v>10</v>
      </c>
      <c r="B36" s="22">
        <v>0</v>
      </c>
      <c r="C36" s="22">
        <v>0</v>
      </c>
      <c r="D36" s="22">
        <v>0</v>
      </c>
      <c r="E36" s="22">
        <v>0</v>
      </c>
      <c r="F36" s="22">
        <v>0</v>
      </c>
      <c r="G36" s="25">
        <f>SQRT(J17)</f>
        <v>0.3260432188286177</v>
      </c>
      <c r="H36" s="22">
        <v>0</v>
      </c>
      <c r="I36" s="22">
        <v>0</v>
      </c>
      <c r="J36" s="22">
        <v>0</v>
      </c>
      <c r="K36" s="27">
        <f>SQRT(1)</f>
        <v>1</v>
      </c>
      <c r="M36" s="15" t="e">
        <v>#VALUE!</v>
      </c>
      <c r="O36" s="15">
        <f t="shared" si="9"/>
        <v>86.602540378443862</v>
      </c>
    </row>
    <row r="37" spans="1:15" x14ac:dyDescent="0.45">
      <c r="A37" s="1">
        <v>11</v>
      </c>
      <c r="B37" s="28">
        <v>1</v>
      </c>
      <c r="C37" s="28">
        <v>0</v>
      </c>
      <c r="D37" s="28">
        <v>1</v>
      </c>
      <c r="E37" s="28">
        <v>0</v>
      </c>
      <c r="F37" s="28">
        <v>1</v>
      </c>
      <c r="G37" s="28">
        <v>1</v>
      </c>
      <c r="H37" s="28">
        <v>0</v>
      </c>
      <c r="I37" s="28">
        <v>0</v>
      </c>
      <c r="J37" s="28">
        <v>0</v>
      </c>
      <c r="K37" s="28">
        <v>0</v>
      </c>
      <c r="M37" s="15" t="e">
        <v>#VALUE!</v>
      </c>
      <c r="O37" s="15">
        <f>E4</f>
        <v>280.75</v>
      </c>
    </row>
    <row r="39" spans="1:15" x14ac:dyDescent="0.45">
      <c r="L39" s="1">
        <v>1</v>
      </c>
      <c r="M39" s="1" t="e">
        <f>M27</f>
        <v>#VALUE!</v>
      </c>
    </row>
    <row r="40" spans="1:15" x14ac:dyDescent="0.45">
      <c r="L40" s="1">
        <v>2</v>
      </c>
      <c r="M40" s="1" t="e">
        <f t="shared" ref="M40:M41" si="10">M28</f>
        <v>#VALUE!</v>
      </c>
    </row>
    <row r="41" spans="1:15" x14ac:dyDescent="0.45">
      <c r="L41" s="1">
        <v>3</v>
      </c>
      <c r="M41" s="1" t="e">
        <f t="shared" si="10"/>
        <v>#VALUE!</v>
      </c>
    </row>
    <row r="42" spans="1:15" x14ac:dyDescent="0.45">
      <c r="F42"/>
      <c r="L42" s="1">
        <v>4</v>
      </c>
      <c r="M42" s="1" t="e">
        <f>M30^2</f>
        <v>#VALUE!</v>
      </c>
    </row>
    <row r="43" spans="1:15" x14ac:dyDescent="0.45">
      <c r="L43" s="1">
        <v>5</v>
      </c>
      <c r="M43" t="e">
        <f t="shared" ref="M43:M48" si="11">M31^2</f>
        <v>#VALUE!</v>
      </c>
    </row>
    <row r="44" spans="1:15" x14ac:dyDescent="0.45">
      <c r="L44" s="1">
        <v>6</v>
      </c>
      <c r="M44" t="e">
        <f t="shared" si="11"/>
        <v>#VALUE!</v>
      </c>
    </row>
    <row r="45" spans="1:15" x14ac:dyDescent="0.45">
      <c r="L45" s="1">
        <v>7</v>
      </c>
      <c r="M45" t="e">
        <f t="shared" si="11"/>
        <v>#VALUE!</v>
      </c>
    </row>
    <row r="46" spans="1:15" x14ac:dyDescent="0.45">
      <c r="L46" s="1">
        <v>8</v>
      </c>
      <c r="M46" t="e">
        <f t="shared" si="11"/>
        <v>#VALUE!</v>
      </c>
    </row>
    <row r="47" spans="1:15" x14ac:dyDescent="0.45">
      <c r="L47" s="1">
        <v>9</v>
      </c>
      <c r="M47" t="e">
        <f t="shared" si="11"/>
        <v>#VALUE!</v>
      </c>
    </row>
    <row r="48" spans="1:15" x14ac:dyDescent="0.45">
      <c r="L48" s="1">
        <v>10</v>
      </c>
      <c r="M48" t="e">
        <f t="shared" si="11"/>
        <v>#VALUE!</v>
      </c>
    </row>
    <row r="49" spans="12:13" x14ac:dyDescent="0.45">
      <c r="L49" s="1">
        <v>11</v>
      </c>
      <c r="M49" s="1" t="e">
        <f>M37^2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HagedornBrown</vt:lpstr>
      <vt:lpstr>GVF</vt:lpstr>
      <vt:lpstr>TurnerAll</vt:lpstr>
      <vt:lpstr>TurnerALM</vt:lpstr>
      <vt:lpstr>LEP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McNealy, Timothy R</dc:creator>
  <cp:lastModifiedBy>McNealy, Timothy R</cp:lastModifiedBy>
  <dcterms:created xsi:type="dcterms:W3CDTF">2026-07-21T14:04:38Z</dcterms:created>
  <dcterms:modified xsi:type="dcterms:W3CDTF">2026-07-29T14:57:30Z</dcterms:modified>
</cp:coreProperties>
</file>